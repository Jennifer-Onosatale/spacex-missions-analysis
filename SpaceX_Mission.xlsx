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xr:revisionPtr revIDLastSave="0" documentId="8_{F0B7316F-45F6-4FBD-AF0A-BC5F2884E152}" xr6:coauthVersionLast="33" xr6:coauthVersionMax="33" xr10:uidLastSave="{00000000-0000-0000-0000-000000000000}"/>
  <bookViews>
    <workbookView xWindow="0" yWindow="0" windowWidth="20490" windowHeight="6825" activeTab="1" xr2:uid="{00000000-000D-0000-FFFF-FFFF00000000}"/>
  </bookViews>
  <sheets>
    <sheet name="RAW_DATA" sheetId="2" r:id="rId1"/>
    <sheet name="ANALYSIS" sheetId="3" r:id="rId2"/>
    <sheet name="SpaceX_Clean" sheetId="1" r:id="rId3"/>
  </sheets>
  <calcPr calcId="179017"/>
  <pivotCaches>
    <pivotCache cacheId="0" r:id="rId4"/>
  </pivotCaches>
  <fileRecoveryPr repairLoad="1"/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2" i="1"/>
</calcChain>
</file>

<file path=xl/sharedStrings.xml><?xml version="1.0" encoding="utf-8"?>
<sst xmlns="http://schemas.openxmlformats.org/spreadsheetml/2006/main" count="1073" uniqueCount="173">
  <si>
    <t>Flight Number</t>
  </si>
  <si>
    <t>Launch Date</t>
  </si>
  <si>
    <t>Launch Time</t>
  </si>
  <si>
    <t>Launch Site</t>
  </si>
  <si>
    <t>Vehicle Type</t>
  </si>
  <si>
    <t>Payload Name</t>
  </si>
  <si>
    <t>Payload Type</t>
  </si>
  <si>
    <t>Payload Mass (kg)</t>
  </si>
  <si>
    <t>Payload Orbit</t>
  </si>
  <si>
    <t>Customer Name</t>
  </si>
  <si>
    <t>Customer Type</t>
  </si>
  <si>
    <t>Customer Country</t>
  </si>
  <si>
    <t>Mission Outcome</t>
  </si>
  <si>
    <t>Failure Reason</t>
  </si>
  <si>
    <t>Landing Type</t>
  </si>
  <si>
    <t>Landing Outcome</t>
  </si>
  <si>
    <t>F1-1</t>
  </si>
  <si>
    <t>Marshall Islands</t>
  </si>
  <si>
    <t>Falcon 1</t>
  </si>
  <si>
    <t>FalconSAT-2</t>
  </si>
  <si>
    <t>Research Satellite</t>
  </si>
  <si>
    <t>DARPA</t>
  </si>
  <si>
    <t>Government</t>
  </si>
  <si>
    <t>United States</t>
  </si>
  <si>
    <t>Failure</t>
  </si>
  <si>
    <t>Engine Fire During Launch</t>
  </si>
  <si>
    <t>F1-2</t>
  </si>
  <si>
    <t>DemoSat</t>
  </si>
  <si>
    <t>Engine Shutdown During Launch</t>
  </si>
  <si>
    <t>F1-3</t>
  </si>
  <si>
    <t>Trailblazer</t>
  </si>
  <si>
    <t>Communication Satellite</t>
  </si>
  <si>
    <t>ORS</t>
  </si>
  <si>
    <t>Collision During Launch</t>
  </si>
  <si>
    <t>PRESat, NanoSail-D</t>
  </si>
  <si>
    <t>Research Satellites</t>
  </si>
  <si>
    <t>NASA</t>
  </si>
  <si>
    <t>Explorers</t>
  </si>
  <si>
    <t>Human Remains</t>
  </si>
  <si>
    <t>Celestis</t>
  </si>
  <si>
    <t>Business</t>
  </si>
  <si>
    <t>F1-4</t>
  </si>
  <si>
    <t>RatSat (DemoSat)</t>
  </si>
  <si>
    <t>Low Earth Orbit</t>
  </si>
  <si>
    <t>Success</t>
  </si>
  <si>
    <t>F1-5</t>
  </si>
  <si>
    <t>RazakSAT</t>
  </si>
  <si>
    <t>Weather Satellite</t>
  </si>
  <si>
    <t>ATSB</t>
  </si>
  <si>
    <t>Malaysia</t>
  </si>
  <si>
    <t>F9-1</t>
  </si>
  <si>
    <t>Cape Canaveral AFS LC-40</t>
  </si>
  <si>
    <t>Falcon 9 (v1.0)</t>
  </si>
  <si>
    <t>Dragon Spacecraft Qualification Unit</t>
  </si>
  <si>
    <t>Parachute</t>
  </si>
  <si>
    <t>F9-2</t>
  </si>
  <si>
    <t>SpaceX CRS (Dragon C1)</t>
  </si>
  <si>
    <t>Space Station Supplies</t>
  </si>
  <si>
    <t>F9-3</t>
  </si>
  <si>
    <t>SpaceX CRS (Dragon C2+)</t>
  </si>
  <si>
    <t>F9-4</t>
  </si>
  <si>
    <t>SpaceX CRS-1</t>
  </si>
  <si>
    <t>Orbcomm-OG2</t>
  </si>
  <si>
    <t>Orbcomm</t>
  </si>
  <si>
    <t>Engine Failure During Flight</t>
  </si>
  <si>
    <t>F9-5</t>
  </si>
  <si>
    <t>SpaceX CRS-2</t>
  </si>
  <si>
    <t>F9-6</t>
  </si>
  <si>
    <t>Vandenberg AFB SLC-4E</t>
  </si>
  <si>
    <t>Falcon 9 (v1.1)</t>
  </si>
  <si>
    <t>CASSIOPE</t>
  </si>
  <si>
    <t>Communication/Research Satellite</t>
  </si>
  <si>
    <t>Polar Orbit</t>
  </si>
  <si>
    <t>MDA Corp</t>
  </si>
  <si>
    <t>Canada</t>
  </si>
  <si>
    <t>Ocean</t>
  </si>
  <si>
    <t>F9-7</t>
  </si>
  <si>
    <t>SES-8</t>
  </si>
  <si>
    <t>Geostationary Transfer Orbit</t>
  </si>
  <si>
    <t>SES</t>
  </si>
  <si>
    <t>Luxembourg</t>
  </si>
  <si>
    <t>None</t>
  </si>
  <si>
    <t>F9-8</t>
  </si>
  <si>
    <t>Thaicom 6</t>
  </si>
  <si>
    <t>Thaicom</t>
  </si>
  <si>
    <t>Thailand</t>
  </si>
  <si>
    <t>F9-9</t>
  </si>
  <si>
    <t>SpaceX CRS-3</t>
  </si>
  <si>
    <t>F9-10</t>
  </si>
  <si>
    <t>OG2 Mission 1 (6 OG2 Satellites)</t>
  </si>
  <si>
    <t>F9-11</t>
  </si>
  <si>
    <t>AsiaSat 8</t>
  </si>
  <si>
    <t>AsiaSat</t>
  </si>
  <si>
    <t>China</t>
  </si>
  <si>
    <t>F9-12</t>
  </si>
  <si>
    <t>AsiaSat 6</t>
  </si>
  <si>
    <t>F9-13</t>
  </si>
  <si>
    <t>SpaceX CRS-4</t>
  </si>
  <si>
    <t>F9-14</t>
  </si>
  <si>
    <t>SpaceX CRS-5</t>
  </si>
  <si>
    <t>Ship</t>
  </si>
  <si>
    <t>F9-15</t>
  </si>
  <si>
    <t>DSCOVR</t>
  </si>
  <si>
    <t>Sun/Earth Orbit</t>
  </si>
  <si>
    <t>US Air Force; NASA; NOAA</t>
  </si>
  <si>
    <t>F9-16</t>
  </si>
  <si>
    <t>ABS-3A</t>
  </si>
  <si>
    <t>Asia Broadcast Satellite</t>
  </si>
  <si>
    <t>Bermuda</t>
  </si>
  <si>
    <t>Eutelsat 115 West B (Satmex 7)</t>
  </si>
  <si>
    <t>Eutelsat (Satmex)</t>
  </si>
  <si>
    <t>France (Mexico)</t>
  </si>
  <si>
    <t>F9-17</t>
  </si>
  <si>
    <t>SpaceX CRS-6</t>
  </si>
  <si>
    <t>F9-18</t>
  </si>
  <si>
    <t>TurkmenAlem 52E/MonacoSAT</t>
  </si>
  <si>
    <t>Turkmenistan NSA</t>
  </si>
  <si>
    <t>Turkmenistan</t>
  </si>
  <si>
    <t>F9-19</t>
  </si>
  <si>
    <t>SpaceX CRS-7</t>
  </si>
  <si>
    <t>Vehicle Explosion During Flight</t>
  </si>
  <si>
    <t>FT-1</t>
  </si>
  <si>
    <t>Falcon 9 Full Thrust (v1.2)</t>
  </si>
  <si>
    <t>OG2 Mission 2 (11 OG2 Satellites)</t>
  </si>
  <si>
    <t>Land</t>
  </si>
  <si>
    <t>F9-21</t>
  </si>
  <si>
    <t>Jason-3</t>
  </si>
  <si>
    <t>NASA; NOAA; CNES</t>
  </si>
  <si>
    <t>FT-2</t>
  </si>
  <si>
    <t>SES-9</t>
  </si>
  <si>
    <t>FT-3</t>
  </si>
  <si>
    <t>SpaceX CRS-8</t>
  </si>
  <si>
    <t>FT-4</t>
  </si>
  <si>
    <t>JCSAT-14</t>
  </si>
  <si>
    <t>SKY Perfect JSAT Group</t>
  </si>
  <si>
    <t>Japan</t>
  </si>
  <si>
    <t>FT-5</t>
  </si>
  <si>
    <t>Thaicom 8</t>
  </si>
  <si>
    <t>FT-6</t>
  </si>
  <si>
    <t>ABS-2A</t>
  </si>
  <si>
    <t>Eutelsat 117 West B (Satmex 9)</t>
  </si>
  <si>
    <t>FT-7</t>
  </si>
  <si>
    <t>SpaceX CRS-9</t>
  </si>
  <si>
    <t>FT-8</t>
  </si>
  <si>
    <t>JCSAT-16</t>
  </si>
  <si>
    <t>FT-9</t>
  </si>
  <si>
    <t>Amos-6</t>
  </si>
  <si>
    <t>Spacecom</t>
  </si>
  <si>
    <t>Israel</t>
  </si>
  <si>
    <t>Vehicle Explosion Before Launch</t>
  </si>
  <si>
    <t>FT-10</t>
  </si>
  <si>
    <t>Iridium NEXT 1-10</t>
  </si>
  <si>
    <t>Iridium Communications</t>
  </si>
  <si>
    <t>FT-11</t>
  </si>
  <si>
    <t>Kennedy Space Center LC-39A</t>
  </si>
  <si>
    <t>SpaceX CRS-10</t>
  </si>
  <si>
    <t>Classified</t>
  </si>
  <si>
    <t>Unknown</t>
  </si>
  <si>
    <t>N/A - Succesful Mission</t>
  </si>
  <si>
    <t>No Landing Attempted</t>
  </si>
  <si>
    <t>Year</t>
  </si>
  <si>
    <t>Mission Success</t>
  </si>
  <si>
    <t>Landing Success</t>
  </si>
  <si>
    <t>Grand Total</t>
  </si>
  <si>
    <t>SpaceX Launch Frequency and Mission Success Rate</t>
  </si>
  <si>
    <t>SpaceX Mission by Customer Country</t>
  </si>
  <si>
    <t>SpaceX Landing Success Rate by Year</t>
  </si>
  <si>
    <t>Number of Launches</t>
  </si>
  <si>
    <t xml:space="preserve"> Mission Success Rate</t>
  </si>
  <si>
    <t xml:space="preserve"> Number of Launches</t>
  </si>
  <si>
    <t>Year of Launch</t>
  </si>
  <si>
    <t xml:space="preserve"> Landing Success Rate</t>
  </si>
  <si>
    <t>SpaceX Mission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</si>
</sst>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5" fontId="0" fillId="0" borderId="0" xfId="0" applyNumberFormat="1"/>
    <xf numFmtId="2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6" fillId="33" borderId="10" xfId="0" applyFont="1" applyFill="1" applyBorder="1"/>
    <xf numFmtId="0" fontId="0" fillId="0" borderId="0" xfId="0" applyNumberFormat="1"/>
    <xf numFmtId="9" fontId="0" fillId="0" borderId="0" xfId="0" applyNumberFormat="1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SpaceX</a:t>
            </a:r>
            <a:r>
              <a:rPr lang="en-US" sz="1600" b="1" baseline="0"/>
              <a:t> </a:t>
            </a:r>
            <a:r>
              <a:rPr lang="en-US" sz="1600" b="1"/>
              <a:t>Mission Success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ANALYSIS!$AG$1</c:f>
              <c:strCache>
                <c:ptCount val="1"/>
                <c:pt idx="0">
                  <c:v> Mission Success 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ANALYSIS!$AF$2:$AF$12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numCache>
            </c:numRef>
          </c:xVal>
          <c:yVal>
            <c:numRef>
              <c:f>ANALYSIS!$AG$2:$AG$12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0.25</c:v>
                </c:pt>
                <c:pt idx="3">
                  <c:v>1</c:v>
                </c:pt>
                <c:pt idx="4">
                  <c:v>1</c:v>
                </c:pt>
                <c:pt idx="5">
                  <c:v>0.66666666666666663</c:v>
                </c:pt>
                <c:pt idx="6">
                  <c:v>1</c:v>
                </c:pt>
                <c:pt idx="7">
                  <c:v>1</c:v>
                </c:pt>
                <c:pt idx="8">
                  <c:v>0.875</c:v>
                </c:pt>
                <c:pt idx="9">
                  <c:v>0.9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E33-4837-B226-5BB6FC3C5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3446832"/>
        <c:axId val="1159022192"/>
      </c:scatterChart>
      <c:valAx>
        <c:axId val="1233446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159022192"/>
        <c:crosses val="autoZero"/>
        <c:crossBetween val="midCat"/>
      </c:valAx>
      <c:valAx>
        <c:axId val="115902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33446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Space</a:t>
            </a:r>
            <a:r>
              <a:rPr lang="en-US" sz="1600" b="1" baseline="0"/>
              <a:t>X Mission by Customer Country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ANALYSIS!$AD$15</c:f>
              <c:strCache>
                <c:ptCount val="1"/>
                <c:pt idx="0">
                  <c:v> Number of Launches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ANALYSIS!$AC$16:$AC$27</c:f>
              <c:strCache>
                <c:ptCount val="12"/>
                <c:pt idx="0">
                  <c:v>United States</c:v>
                </c:pt>
                <c:pt idx="1">
                  <c:v>Bermuda</c:v>
                </c:pt>
                <c:pt idx="2">
                  <c:v>China</c:v>
                </c:pt>
                <c:pt idx="3">
                  <c:v>Classified</c:v>
                </c:pt>
                <c:pt idx="4">
                  <c:v>France (Mexico)</c:v>
                </c:pt>
                <c:pt idx="5">
                  <c:v>Japan</c:v>
                </c:pt>
                <c:pt idx="6">
                  <c:v>Luxembourg</c:v>
                </c:pt>
                <c:pt idx="7">
                  <c:v>Thailand</c:v>
                </c:pt>
                <c:pt idx="8">
                  <c:v>Canada</c:v>
                </c:pt>
                <c:pt idx="9">
                  <c:v>Israel</c:v>
                </c:pt>
                <c:pt idx="10">
                  <c:v>Malaysia</c:v>
                </c:pt>
                <c:pt idx="11">
                  <c:v>Turkmenistan</c:v>
                </c:pt>
              </c:strCache>
            </c:strRef>
          </c:cat>
          <c:val>
            <c:numRef>
              <c:f>ANALYSIS!$AD$16:$AD$27</c:f>
              <c:numCache>
                <c:formatCode>General</c:formatCode>
                <c:ptCount val="12"/>
                <c:pt idx="0">
                  <c:v>23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2-4BB8-B9A5-B040D651E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7197344"/>
        <c:axId val="1233770736"/>
      </c:barChart>
      <c:catAx>
        <c:axId val="130719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33770736"/>
        <c:crosses val="autoZero"/>
        <c:auto val="1"/>
        <c:lblAlgn val="ctr"/>
        <c:lblOffset val="100"/>
        <c:noMultiLvlLbl val="0"/>
      </c:catAx>
      <c:valAx>
        <c:axId val="123377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0719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[SpaceX_Mission.xlsx]ANALYSIS!PivotTable7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SpaceX</a:t>
            </a:r>
            <a:r>
              <a:rPr lang="en-US" sz="1600" b="1" baseline="0"/>
              <a:t> Landing Success Rate by Year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ANALYSIS!$B$42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ANALYSIS!$A$43:$A$54</c:f>
              <c:strCach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strCache>
            </c:strRef>
          </c:cat>
          <c:val>
            <c:numRef>
              <c:f>ANALYSIS!$B$43:$B$54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0.25</c:v>
                </c:pt>
                <c:pt idx="9">
                  <c:v>0.5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4E-4249-9CB1-622476917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33466800"/>
        <c:axId val="1233816096"/>
      </c:lineChart>
      <c:catAx>
        <c:axId val="1233466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33816096"/>
        <c:crosses val="autoZero"/>
        <c:auto val="1"/>
        <c:lblAlgn val="ctr"/>
        <c:lblOffset val="100"/>
        <c:noMultiLvlLbl val="0"/>
      </c:catAx>
      <c:valAx>
        <c:axId val="123381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3346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SpaceX</a:t>
            </a:r>
            <a:r>
              <a:rPr lang="en-US" sz="1600" b="1" baseline="0"/>
              <a:t> Number of Launches by Year</a:t>
            </a:r>
            <a:endParaRPr lang="en-US" sz="16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ANALYSIS!$AD$1</c:f>
              <c:strCache>
                <c:ptCount val="1"/>
                <c:pt idx="0">
                  <c:v>Number of Launches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ANALYSIS!$AC$2:$AC$12</c:f>
              <c:numCache>
                <c:formatCode>General</c:formatCode>
                <c:ptCount val="11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2012</c:v>
                </c:pt>
                <c:pt idx="6">
                  <c:v>2013</c:v>
                </c:pt>
                <c:pt idx="7">
                  <c:v>2014</c:v>
                </c:pt>
                <c:pt idx="8">
                  <c:v>2015</c:v>
                </c:pt>
                <c:pt idx="9">
                  <c:v>2016</c:v>
                </c:pt>
                <c:pt idx="10">
                  <c:v>2017</c:v>
                </c:pt>
              </c:numCache>
            </c:numRef>
          </c:cat>
          <c:val>
            <c:numRef>
              <c:f>ANALYSIS!$AD$2:$AD$12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4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6</c:v>
                </c:pt>
                <c:pt idx="8">
                  <c:v>8</c:v>
                </c:pt>
                <c:pt idx="9">
                  <c:v>10</c:v>
                </c:pt>
                <c:pt idx="1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B4-4516-9086-E5182E9B52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07199008"/>
        <c:axId val="1237810544"/>
      </c:lineChart>
      <c:catAx>
        <c:axId val="13071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237810544"/>
        <c:crosses val="autoZero"/>
        <c:auto val="1"/>
        <c:lblAlgn val="ctr"/>
        <c:lblOffset val="100"/>
        <c:noMultiLvlLbl val="0"/>
      </c:catAx>
      <c:valAx>
        <c:axId val="1237810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30719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628649</xdr:colOff>
      <xdr:row>5</xdr:row>
      <xdr:rowOff>204787</xdr:rowOff>
    </xdr:from>
    <xdr:to>
      <xdr:col>13</xdr:col>
      <xdr:colOff>723899</xdr:colOff>
      <xdr:row>18</xdr:row>
      <xdr:rowOff>161925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E12C37-D527-47BB-A5C0-42EDB4BFD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581024</xdr:colOff>
      <xdr:row>22</xdr:row>
      <xdr:rowOff>204787</xdr:rowOff>
    </xdr:from>
    <xdr:to>
      <xdr:col>10</xdr:col>
      <xdr:colOff>9524</xdr:colOff>
      <xdr:row>37</xdr:row>
      <xdr:rowOff>42862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C1AFC3A-7E5B-4588-8A5D-8F9B099B81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40</xdr:row>
      <xdr:rowOff>233362</xdr:rowOff>
    </xdr:from>
    <xdr:to>
      <xdr:col>9</xdr:col>
      <xdr:colOff>485775</xdr:colOff>
      <xdr:row>55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D06853-FDD7-4DAD-ADC2-1AC1C1AA11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9525</xdr:colOff>
      <xdr:row>6</xdr:row>
      <xdr:rowOff>33337</xdr:rowOff>
    </xdr:from>
    <xdr:to>
      <xdr:col>9</xdr:col>
      <xdr:colOff>485776</xdr:colOff>
      <xdr:row>19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2754FA5-1D76-4548-88B4-41CD80D298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paceX_Clean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8.322721875003" createdVersion="6" refreshedVersion="6" minRefreshableVersion="3" recordCount="41" xr:uid="{9E85A8AB-FBAD-449E-93EE-3EB19357AB0F}">
  <cacheSource type="worksheet">
    <worksheetSource ref="A1:S42" sheet="SpaceX_Clean" r:id="rId2"/>
  </cacheSource>
  <cacheFields count="19">
    <cacheField name="Flight Number" numFmtId="0">
      <sharedItems count="36">
        <s v="F1-1"/>
        <s v="F1-2"/>
        <s v="F1-3"/>
        <s v="F1-4"/>
        <s v="F1-5"/>
        <s v="F9-1"/>
        <s v="F9-2"/>
        <s v="F9-3"/>
        <s v="F9-4"/>
        <s v="F9-5"/>
        <s v="F9-6"/>
        <s v="F9-7"/>
        <s v="F9-8"/>
        <s v="F9-9"/>
        <s v="F9-10"/>
        <s v="F9-11"/>
        <s v="F9-12"/>
        <s v="F9-13"/>
        <s v="F9-14"/>
        <s v="F9-15"/>
        <s v="F9-16"/>
        <s v="F9-17"/>
        <s v="F9-18"/>
        <s v="F9-19"/>
        <s v="FT-1"/>
        <s v="F9-21"/>
        <s v="FT-2"/>
        <s v="FT-3"/>
        <s v="FT-4"/>
        <s v="FT-5"/>
        <s v="FT-6"/>
        <s v="FT-7"/>
        <s v="FT-8"/>
        <s v="FT-9"/>
        <s v="FT-10"/>
        <s v="FT-11"/>
      </sharedItems>
    </cacheField>
    <cacheField name="Launch Date" numFmtId="15">
      <sharedItems containsSemiMixedTypes="0" containsNonDate="0" containsDate="1" containsString="0" minDate="2006-03-24T00:00:00" maxDate="2017-02-20T00:00:00"/>
    </cacheField>
    <cacheField name="Launch Time" numFmtId="20">
      <sharedItems containsSemiMixedTypes="0" containsNonDate="0" containsDate="1" containsString="0" minDate="1899-12-30T00:35:00" maxDate="1899-12-30T23:35:00"/>
    </cacheField>
    <cacheField name="Launch Site" numFmtId="0">
      <sharedItems/>
    </cacheField>
    <cacheField name="Vehicle Type" numFmtId="0">
      <sharedItems/>
    </cacheField>
    <cacheField name="Payload Name" numFmtId="0">
      <sharedItems count="41">
        <s v="FalconSAT-2"/>
        <s v="DemoSat"/>
        <s v="Trailblazer"/>
        <s v="PRESat, NanoSail-D"/>
        <s v="Explorers"/>
        <s v="RatSat (DemoSat)"/>
        <s v="RazakSAT"/>
        <s v="Dragon Spacecraft Qualification Unit"/>
        <s v="SpaceX CRS (Dragon C1)"/>
        <s v="SpaceX CRS (Dragon C2+)"/>
        <s v="SpaceX CRS-1"/>
        <s v="Orbcomm-OG2"/>
        <s v="SpaceX CRS-2"/>
        <s v="CASSIOPE"/>
        <s v="SES-8"/>
        <s v="Thaicom 6"/>
        <s v="SpaceX CRS-3"/>
        <s v="OG2 Mission 1 (6 OG2 Satellites)"/>
        <s v="AsiaSat 8"/>
        <s v="AsiaSat 6"/>
        <s v="SpaceX CRS-4"/>
        <s v="SpaceX CRS-5"/>
        <s v="DSCOVR"/>
        <s v="ABS-3A"/>
        <s v="Eutelsat 115 West B (Satmex 7)"/>
        <s v="SpaceX CRS-6"/>
        <s v="TurkmenAlem 52E/MonacoSAT"/>
        <s v="SpaceX CRS-7"/>
        <s v="OG2 Mission 2 (11 OG2 Satellites)"/>
        <s v="Jason-3"/>
        <s v="SES-9"/>
        <s v="SpaceX CRS-8"/>
        <s v="JCSAT-14"/>
        <s v="Thaicom 8"/>
        <s v="ABS-2A"/>
        <s v="Eutelsat 117 West B (Satmex 9)"/>
        <s v="SpaceX CRS-9"/>
        <s v="JCSAT-16"/>
        <s v="Amos-6"/>
        <s v="Iridium NEXT 1-10"/>
        <s v="SpaceX CRS-10"/>
      </sharedItems>
    </cacheField>
    <cacheField name="Payload Type" numFmtId="0">
      <sharedItems count="8">
        <s v="Research Satellite"/>
        <s v="Classified"/>
        <s v="Communication Satellite"/>
        <s v="Research Satellites"/>
        <s v="Human Remains"/>
        <s v="Weather Satellite"/>
        <s v="Space Station Supplies"/>
        <s v="Communication/Research Satellite"/>
      </sharedItems>
    </cacheField>
    <cacheField name="Payload Mass (kg)" numFmtId="0">
      <sharedItems containsMixedTypes="1" containsNumber="1" minValue="8" maxValue="9600"/>
    </cacheField>
    <cacheField name="Payload Orbit" numFmtId="0">
      <sharedItems/>
    </cacheField>
    <cacheField name="Customer Name" numFmtId="0">
      <sharedItems/>
    </cacheField>
    <cacheField name="Customer Type" numFmtId="0">
      <sharedItems/>
    </cacheField>
    <cacheField name="Customer Country" numFmtId="0">
      <sharedItems count="12">
        <s v="United States"/>
        <s v="Classified"/>
        <s v="Malaysia"/>
        <s v="Canada"/>
        <s v="Luxembourg"/>
        <s v="Thailand"/>
        <s v="China"/>
        <s v="Bermuda"/>
        <s v="France (Mexico)"/>
        <s v="Turkmenistan"/>
        <s v="Japan"/>
        <s v="Israel"/>
      </sharedItems>
    </cacheField>
    <cacheField name="Mission Outcome" numFmtId="0">
      <sharedItems/>
    </cacheField>
    <cacheField name="Failure Reason" numFmtId="0">
      <sharedItems/>
    </cacheField>
    <cacheField name="Landing Type" numFmtId="0">
      <sharedItems/>
    </cacheField>
    <cacheField name="Landing Outcome" numFmtId="0">
      <sharedItems count="3">
        <s v="No Landing Attempted"/>
        <s v="Failure"/>
        <s v="Success"/>
      </sharedItems>
    </cacheField>
    <cacheField name="Year" numFmtId="0">
      <sharedItems containsSemiMixedTypes="0" containsString="0" containsNumber="1" containsInteger="1" minValue="2006" maxValue="2017" count="11">
        <n v="2006"/>
        <n v="2007"/>
        <n v="2008"/>
        <n v="2009"/>
        <n v="2010"/>
        <n v="2012"/>
        <n v="2013"/>
        <n v="2014"/>
        <n v="2015"/>
        <n v="2016"/>
        <n v="2017"/>
      </sharedItems>
    </cacheField>
    <cacheField name="Mission Success" numFmtId="0">
      <sharedItems containsSemiMixedTypes="0" containsString="0" containsNumber="1" containsInteger="1" minValue="0" maxValue="1" count="2">
        <n v="0"/>
        <n v="1"/>
      </sharedItems>
    </cacheField>
    <cacheField name="Landing Success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d v="2006-03-24T00:00:00"/>
    <d v="1899-12-30T22:30:00"/>
    <s v="Marshall Islands"/>
    <s v="Falcon 1"/>
    <x v="0"/>
    <x v="0"/>
    <n v="19.5"/>
    <s v="Classified"/>
    <s v="DARPA"/>
    <s v="Government"/>
    <x v="0"/>
    <s v="Failure"/>
    <s v="Engine Fire During Launch"/>
    <s v="No Landing Attempted"/>
    <x v="0"/>
    <x v="0"/>
    <x v="0"/>
    <n v="0"/>
  </r>
  <r>
    <x v="1"/>
    <d v="2007-03-21T00:00:00"/>
    <d v="1899-12-30T01:10:00"/>
    <s v="Marshall Islands"/>
    <s v="Falcon 1"/>
    <x v="1"/>
    <x v="1"/>
    <s v="Unknown"/>
    <s v="Classified"/>
    <s v="DARPA"/>
    <s v="Government"/>
    <x v="0"/>
    <s v="Failure"/>
    <s v="Engine Shutdown During Launch"/>
    <s v="No Landing Attempted"/>
    <x v="0"/>
    <x v="1"/>
    <x v="0"/>
    <n v="0"/>
  </r>
  <r>
    <x v="2"/>
    <d v="2008-08-03T00:00:00"/>
    <d v="1899-12-30T03:34:00"/>
    <s v="Marshall Islands"/>
    <s v="Falcon 1"/>
    <x v="2"/>
    <x v="2"/>
    <s v="Unknown"/>
    <s v="Classified"/>
    <s v="ORS"/>
    <s v="Government"/>
    <x v="0"/>
    <s v="Failure"/>
    <s v="Collision During Launch"/>
    <s v="No Landing Attempted"/>
    <x v="0"/>
    <x v="2"/>
    <x v="0"/>
    <n v="0"/>
  </r>
  <r>
    <x v="2"/>
    <d v="2008-08-03T00:00:00"/>
    <d v="1899-12-30T03:34:00"/>
    <s v="Marshall Islands"/>
    <s v="Falcon 1"/>
    <x v="3"/>
    <x v="3"/>
    <n v="8"/>
    <s v="Classified"/>
    <s v="NASA"/>
    <s v="Government"/>
    <x v="0"/>
    <s v="Failure"/>
    <s v="Collision During Launch"/>
    <s v="No Landing Attempted"/>
    <x v="0"/>
    <x v="2"/>
    <x v="0"/>
    <n v="0"/>
  </r>
  <r>
    <x v="2"/>
    <d v="2008-08-03T00:00:00"/>
    <d v="1899-12-30T03:34:00"/>
    <s v="Marshall Islands"/>
    <s v="Falcon 1"/>
    <x v="4"/>
    <x v="4"/>
    <s v="Unknown"/>
    <s v="Classified"/>
    <s v="Celestis"/>
    <s v="Business"/>
    <x v="0"/>
    <s v="Failure"/>
    <s v="Collision During Launch"/>
    <s v="No Landing Attempted"/>
    <x v="0"/>
    <x v="2"/>
    <x v="0"/>
    <n v="0"/>
  </r>
  <r>
    <x v="3"/>
    <d v="2008-09-28T00:00:00"/>
    <d v="1899-12-30T23:15:00"/>
    <s v="Marshall Islands"/>
    <s v="Falcon 1"/>
    <x v="5"/>
    <x v="1"/>
    <n v="165"/>
    <s v="Low Earth Orbit"/>
    <s v="Classified"/>
    <s v="Classified"/>
    <x v="1"/>
    <s v="Success"/>
    <s v="N/A - Succesful Mission"/>
    <s v="No Landing Attempted"/>
    <x v="0"/>
    <x v="2"/>
    <x v="1"/>
    <n v="0"/>
  </r>
  <r>
    <x v="4"/>
    <d v="2009-07-14T00:00:00"/>
    <d v="1899-12-30T03:35:00"/>
    <s v="Marshall Islands"/>
    <s v="Falcon 1"/>
    <x v="6"/>
    <x v="5"/>
    <n v="180"/>
    <s v="Low Earth Orbit"/>
    <s v="ATSB"/>
    <s v="Government"/>
    <x v="2"/>
    <s v="Success"/>
    <s v="N/A - Succesful Mission"/>
    <s v="No Landing Attempted"/>
    <x v="0"/>
    <x v="3"/>
    <x v="1"/>
    <n v="0"/>
  </r>
  <r>
    <x v="5"/>
    <d v="2010-06-04T00:00:00"/>
    <d v="1899-12-30T18:45:00"/>
    <s v="Cape Canaveral AFS LC-40"/>
    <s v="Falcon 9 (v1.0)"/>
    <x v="7"/>
    <x v="1"/>
    <s v="Unknown"/>
    <s v="Low Earth Orbit"/>
    <s v="Classified"/>
    <s v="Classified"/>
    <x v="1"/>
    <s v="Success"/>
    <s v="N/A - Succesful Mission"/>
    <s v="Parachute"/>
    <x v="1"/>
    <x v="4"/>
    <x v="1"/>
    <n v="0"/>
  </r>
  <r>
    <x v="6"/>
    <d v="2010-12-08T00:00:00"/>
    <d v="1899-12-30T15:43:00"/>
    <s v="Cape Canaveral AFS LC-40"/>
    <s v="Falcon 9 (v1.0)"/>
    <x v="8"/>
    <x v="6"/>
    <s v="Unknown"/>
    <s v="Low Earth Orbit"/>
    <s v="NASA"/>
    <s v="Government"/>
    <x v="0"/>
    <s v="Success"/>
    <s v="N/A - Succesful Mission"/>
    <s v="Parachute"/>
    <x v="1"/>
    <x v="4"/>
    <x v="1"/>
    <n v="0"/>
  </r>
  <r>
    <x v="7"/>
    <d v="2012-05-22T00:00:00"/>
    <d v="1899-12-30T07:44:00"/>
    <s v="Cape Canaveral AFS LC-40"/>
    <s v="Falcon 9 (v1.0)"/>
    <x v="9"/>
    <x v="6"/>
    <s v="Unknown"/>
    <s v="Low Earth Orbit"/>
    <s v="NASA"/>
    <s v="Government"/>
    <x v="0"/>
    <s v="Success"/>
    <s v="N/A - Succesful Mission"/>
    <s v="No Landing Attempted"/>
    <x v="0"/>
    <x v="5"/>
    <x v="1"/>
    <n v="0"/>
  </r>
  <r>
    <x v="8"/>
    <d v="2012-10-08T00:00:00"/>
    <d v="1899-12-30T00:35:00"/>
    <s v="Cape Canaveral AFS LC-40"/>
    <s v="Falcon 9 (v1.0)"/>
    <x v="10"/>
    <x v="6"/>
    <n v="500"/>
    <s v="Low Earth Orbit"/>
    <s v="NASA"/>
    <s v="Government"/>
    <x v="0"/>
    <s v="Success"/>
    <s v="N/A - Succesful Mission"/>
    <s v="No Landing Attempted"/>
    <x v="0"/>
    <x v="5"/>
    <x v="1"/>
    <n v="0"/>
  </r>
  <r>
    <x v="8"/>
    <d v="2012-10-08T00:00:00"/>
    <d v="1899-12-30T00:35:00"/>
    <s v="Cape Canaveral AFS LC-40"/>
    <s v="Falcon 9 (v1.0)"/>
    <x v="11"/>
    <x v="2"/>
    <n v="150"/>
    <s v="Low Earth Orbit"/>
    <s v="Orbcomm"/>
    <s v="Business"/>
    <x v="0"/>
    <s v="Failure"/>
    <s v="Engine Failure During Flight"/>
    <s v="No Landing Attempted"/>
    <x v="0"/>
    <x v="5"/>
    <x v="0"/>
    <n v="0"/>
  </r>
  <r>
    <x v="9"/>
    <d v="2013-03-01T00:00:00"/>
    <d v="1899-12-30T15:10:00"/>
    <s v="Cape Canaveral AFS LC-40"/>
    <s v="Falcon 9 (v1.0)"/>
    <x v="12"/>
    <x v="6"/>
    <n v="677"/>
    <s v="Low Earth Orbit"/>
    <s v="NASA"/>
    <s v="Government"/>
    <x v="0"/>
    <s v="Success"/>
    <s v="N/A - Succesful Mission"/>
    <s v="No Landing Attempted"/>
    <x v="0"/>
    <x v="6"/>
    <x v="1"/>
    <n v="0"/>
  </r>
  <r>
    <x v="10"/>
    <d v="2013-09-29T00:00:00"/>
    <d v="1899-12-30T16:00:00"/>
    <s v="Vandenberg AFB SLC-4E"/>
    <s v="Falcon 9 (v1.1)"/>
    <x v="13"/>
    <x v="7"/>
    <n v="500"/>
    <s v="Polar Orbit"/>
    <s v="MDA Corp"/>
    <s v="Business"/>
    <x v="3"/>
    <s v="Success"/>
    <s v="N/A - Succesful Mission"/>
    <s v="Ocean"/>
    <x v="1"/>
    <x v="6"/>
    <x v="1"/>
    <n v="0"/>
  </r>
  <r>
    <x v="11"/>
    <d v="2013-12-03T00:00:00"/>
    <d v="1899-12-30T22:41:00"/>
    <s v="Cape Canaveral AFS LC-40"/>
    <s v="Falcon 9 (v1.1)"/>
    <x v="14"/>
    <x v="2"/>
    <n v="3170"/>
    <s v="Geostationary Transfer Orbit"/>
    <s v="SES"/>
    <s v="Business"/>
    <x v="4"/>
    <s v="Success"/>
    <s v="N/A - Succesful Mission"/>
    <s v="No Landing Attempted"/>
    <x v="0"/>
    <x v="6"/>
    <x v="1"/>
    <n v="0"/>
  </r>
  <r>
    <x v="12"/>
    <d v="2014-12-06T00:00:00"/>
    <d v="1899-12-30T22:06:00"/>
    <s v="Cape Canaveral AFS LC-40"/>
    <s v="Falcon 9 (v1.1)"/>
    <x v="15"/>
    <x v="2"/>
    <n v="3325"/>
    <s v="Geostationary Transfer Orbit"/>
    <s v="Thaicom"/>
    <s v="Business"/>
    <x v="5"/>
    <s v="Success"/>
    <s v="N/A - Succesful Mission"/>
    <s v="No Landing Attempted"/>
    <x v="0"/>
    <x v="7"/>
    <x v="1"/>
    <n v="0"/>
  </r>
  <r>
    <x v="13"/>
    <d v="2014-04-18T00:00:00"/>
    <d v="1899-12-30T19:25:00"/>
    <s v="Cape Canaveral AFS LC-40"/>
    <s v="Falcon 9 (v1.1)"/>
    <x v="16"/>
    <x v="6"/>
    <n v="2296"/>
    <s v="Low Earth Orbit"/>
    <s v="NASA"/>
    <s v="Government"/>
    <x v="0"/>
    <s v="Success"/>
    <s v="N/A - Succesful Mission"/>
    <s v="Ocean"/>
    <x v="2"/>
    <x v="7"/>
    <x v="1"/>
    <n v="1"/>
  </r>
  <r>
    <x v="14"/>
    <d v="2014-07-14T00:00:00"/>
    <d v="1899-12-30T15:15:00"/>
    <s v="Cape Canaveral AFS LC-40"/>
    <s v="Falcon 9 (v1.1)"/>
    <x v="17"/>
    <x v="2"/>
    <s v="Unknown"/>
    <s v="Low Earth Orbit"/>
    <s v="Orbcomm"/>
    <s v="Business"/>
    <x v="0"/>
    <s v="Success"/>
    <s v="N/A - Succesful Mission"/>
    <s v="Ocean"/>
    <x v="2"/>
    <x v="7"/>
    <x v="1"/>
    <n v="1"/>
  </r>
  <r>
    <x v="15"/>
    <d v="2014-08-05T00:00:00"/>
    <d v="1899-12-30T08:00:00"/>
    <s v="Cape Canaveral AFS LC-40"/>
    <s v="Falcon 9 (v1.1)"/>
    <x v="18"/>
    <x v="2"/>
    <n v="4535"/>
    <s v="Geostationary Transfer Orbit"/>
    <s v="AsiaSat"/>
    <s v="Business"/>
    <x v="6"/>
    <s v="Success"/>
    <s v="N/A - Succesful Mission"/>
    <s v="No Landing Attempted"/>
    <x v="0"/>
    <x v="7"/>
    <x v="1"/>
    <n v="0"/>
  </r>
  <r>
    <x v="16"/>
    <d v="2014-09-07T00:00:00"/>
    <d v="1899-12-30T05:00:00"/>
    <s v="Cape Canaveral AFS LC-40"/>
    <s v="Falcon 9 (v1.1)"/>
    <x v="19"/>
    <x v="2"/>
    <n v="4428"/>
    <s v="Geostationary Transfer Orbit"/>
    <s v="AsiaSat"/>
    <s v="Business"/>
    <x v="6"/>
    <s v="Success"/>
    <s v="N/A - Succesful Mission"/>
    <s v="No Landing Attempted"/>
    <x v="0"/>
    <x v="7"/>
    <x v="1"/>
    <n v="0"/>
  </r>
  <r>
    <x v="17"/>
    <d v="2014-09-21T00:00:00"/>
    <d v="1899-12-30T05:52:00"/>
    <s v="Cape Canaveral AFS LC-40"/>
    <s v="Falcon 9 (v1.1)"/>
    <x v="20"/>
    <x v="6"/>
    <n v="2216"/>
    <s v="Geostationary Transfer Orbit"/>
    <s v="NASA"/>
    <s v="Government"/>
    <x v="0"/>
    <s v="Success"/>
    <s v="N/A - Succesful Mission"/>
    <s v="Ocean"/>
    <x v="2"/>
    <x v="7"/>
    <x v="1"/>
    <n v="1"/>
  </r>
  <r>
    <x v="18"/>
    <d v="2015-01-10T00:00:00"/>
    <d v="1899-12-30T09:47:00"/>
    <s v="Cape Canaveral AFS LC-40"/>
    <s v="Falcon 9 (v1.1)"/>
    <x v="21"/>
    <x v="6"/>
    <n v="2395"/>
    <s v="Low Earth Orbit"/>
    <s v="NASA"/>
    <s v="Government"/>
    <x v="0"/>
    <s v="Success"/>
    <s v="N/A - Succesful Mission"/>
    <s v="Ship"/>
    <x v="1"/>
    <x v="8"/>
    <x v="1"/>
    <n v="0"/>
  </r>
  <r>
    <x v="19"/>
    <d v="2015-02-11T00:00:00"/>
    <d v="1899-12-30T23:03:00"/>
    <s v="Cape Canaveral AFS LC-40"/>
    <s v="Falcon 9 (v1.1)"/>
    <x v="22"/>
    <x v="5"/>
    <n v="570"/>
    <s v="Sun/Earth Orbit"/>
    <s v="US Air Force; NASA; NOAA"/>
    <s v="Government"/>
    <x v="0"/>
    <s v="Success"/>
    <s v="N/A - Succesful Mission"/>
    <s v="Ocean"/>
    <x v="2"/>
    <x v="8"/>
    <x v="1"/>
    <n v="1"/>
  </r>
  <r>
    <x v="20"/>
    <d v="2015-03-02T00:00:00"/>
    <d v="1899-12-30T03:50:00"/>
    <s v="Cape Canaveral AFS LC-40"/>
    <s v="Falcon 9 (v1.1)"/>
    <x v="23"/>
    <x v="2"/>
    <n v="4159"/>
    <s v="Geostationary Transfer Orbit"/>
    <s v="Asia Broadcast Satellite"/>
    <s v="Business"/>
    <x v="7"/>
    <s v="Success"/>
    <s v="N/A - Succesful Mission"/>
    <s v="No Landing Attempted"/>
    <x v="0"/>
    <x v="8"/>
    <x v="1"/>
    <n v="0"/>
  </r>
  <r>
    <x v="20"/>
    <d v="2015-03-02T00:00:00"/>
    <d v="1899-12-30T03:50:00"/>
    <s v="Cape Canaveral AFS LC-40"/>
    <s v="Falcon 9 (v1.1)"/>
    <x v="24"/>
    <x v="2"/>
    <n v="4159"/>
    <s v="Geostationary Transfer Orbit"/>
    <s v="Eutelsat (Satmex)"/>
    <s v="Business"/>
    <x v="8"/>
    <s v="Success"/>
    <s v="N/A - Succesful Mission"/>
    <s v="No Landing Attempted"/>
    <x v="0"/>
    <x v="8"/>
    <x v="1"/>
    <n v="0"/>
  </r>
  <r>
    <x v="21"/>
    <d v="2015-04-14T00:00:00"/>
    <d v="1899-12-30T20:10:00"/>
    <s v="Cape Canaveral AFS LC-40"/>
    <s v="Falcon 9 (v1.1)"/>
    <x v="25"/>
    <x v="6"/>
    <n v="1898"/>
    <s v="Low Earth Orbit"/>
    <s v="NASA"/>
    <s v="Government"/>
    <x v="0"/>
    <s v="Success"/>
    <s v="N/A - Succesful Mission"/>
    <s v="Ship"/>
    <x v="1"/>
    <x v="8"/>
    <x v="1"/>
    <n v="0"/>
  </r>
  <r>
    <x v="22"/>
    <d v="2015-04-27T00:00:00"/>
    <d v="1899-12-30T23:03:00"/>
    <s v="Cape Canaveral AFS LC-40"/>
    <s v="Falcon 9 (v1.1)"/>
    <x v="26"/>
    <x v="2"/>
    <n v="4707"/>
    <s v="Geostationary Transfer Orbit"/>
    <s v="Turkmenistan NSA"/>
    <s v="Government"/>
    <x v="9"/>
    <s v="Success"/>
    <s v="N/A - Succesful Mission"/>
    <s v="No Landing Attempted"/>
    <x v="0"/>
    <x v="8"/>
    <x v="1"/>
    <n v="0"/>
  </r>
  <r>
    <x v="23"/>
    <d v="2015-06-28T00:00:00"/>
    <d v="1899-12-30T14:21:00"/>
    <s v="Cape Canaveral AFS LC-40"/>
    <s v="Falcon 9 (v1.1)"/>
    <x v="27"/>
    <x v="6"/>
    <n v="1952"/>
    <s v="Low Earth Orbit"/>
    <s v="NASA"/>
    <s v="Government"/>
    <x v="0"/>
    <s v="Failure"/>
    <s v="Vehicle Explosion During Flight"/>
    <s v="No Landing Attempted"/>
    <x v="0"/>
    <x v="8"/>
    <x v="0"/>
    <n v="0"/>
  </r>
  <r>
    <x v="24"/>
    <d v="2015-12-22T00:00:00"/>
    <d v="1899-12-30T01:29:00"/>
    <s v="Cape Canaveral AFS LC-40"/>
    <s v="Falcon 9 Full Thrust (v1.2)"/>
    <x v="28"/>
    <x v="2"/>
    <s v="Unknown"/>
    <s v="Low Earth Orbit"/>
    <s v="Orbcomm"/>
    <s v="Business"/>
    <x v="0"/>
    <s v="Success"/>
    <s v="N/A - Succesful Mission"/>
    <s v="Land"/>
    <x v="2"/>
    <x v="8"/>
    <x v="1"/>
    <n v="1"/>
  </r>
  <r>
    <x v="25"/>
    <d v="2016-01-17T00:00:00"/>
    <d v="1899-12-30T18:42:00"/>
    <s v="Vandenberg AFB SLC-4E"/>
    <s v="Falcon 9 (v1.1)"/>
    <x v="29"/>
    <x v="5"/>
    <n v="553"/>
    <s v="Low Earth Orbit"/>
    <s v="NASA; NOAA; CNES"/>
    <s v="Government"/>
    <x v="0"/>
    <s v="Success"/>
    <s v="N/A - Succesful Mission"/>
    <s v="Ship"/>
    <x v="1"/>
    <x v="9"/>
    <x v="1"/>
    <n v="0"/>
  </r>
  <r>
    <x v="26"/>
    <d v="2016-03-04T00:00:00"/>
    <d v="1899-12-30T23:35:00"/>
    <s v="Cape Canaveral AFS LC-40"/>
    <s v="Falcon 9 Full Thrust (v1.2)"/>
    <x v="30"/>
    <x v="2"/>
    <n v="5271"/>
    <s v="Geostationary Transfer Orbit"/>
    <s v="SES"/>
    <s v="Business"/>
    <x v="4"/>
    <s v="Success"/>
    <s v="N/A - Succesful Mission"/>
    <s v="Ship"/>
    <x v="1"/>
    <x v="9"/>
    <x v="1"/>
    <n v="0"/>
  </r>
  <r>
    <x v="27"/>
    <d v="2016-04-08T00:00:00"/>
    <d v="1899-12-30T20:43:00"/>
    <s v="Cape Canaveral AFS LC-40"/>
    <s v="Falcon 9 Full Thrust (v1.2)"/>
    <x v="31"/>
    <x v="6"/>
    <n v="3136"/>
    <s v="Low Earth Orbit"/>
    <s v="NASA"/>
    <s v="Government"/>
    <x v="0"/>
    <s v="Success"/>
    <s v="N/A - Succesful Mission"/>
    <s v="Ship"/>
    <x v="2"/>
    <x v="9"/>
    <x v="1"/>
    <n v="1"/>
  </r>
  <r>
    <x v="28"/>
    <d v="2016-05-06T00:00:00"/>
    <d v="1899-12-30T05:21:00"/>
    <s v="Cape Canaveral AFS LC-40"/>
    <s v="Falcon 9 Full Thrust (v1.2)"/>
    <x v="32"/>
    <x v="2"/>
    <n v="4696"/>
    <s v="Geostationary Transfer Orbit"/>
    <s v="SKY Perfect JSAT Group"/>
    <s v="Business"/>
    <x v="10"/>
    <s v="Success"/>
    <s v="N/A - Succesful Mission"/>
    <s v="Ship"/>
    <x v="2"/>
    <x v="9"/>
    <x v="1"/>
    <n v="1"/>
  </r>
  <r>
    <x v="29"/>
    <d v="2016-05-27T00:00:00"/>
    <d v="1899-12-30T21:39:00"/>
    <s v="Cape Canaveral AFS LC-40"/>
    <s v="Falcon 9 Full Thrust (v1.2)"/>
    <x v="33"/>
    <x v="2"/>
    <n v="3100"/>
    <s v="Geostationary Transfer Orbit"/>
    <s v="Thaicom"/>
    <s v="Business"/>
    <x v="5"/>
    <s v="Success"/>
    <s v="N/A - Succesful Mission"/>
    <s v="Ship"/>
    <x v="2"/>
    <x v="9"/>
    <x v="1"/>
    <n v="1"/>
  </r>
  <r>
    <x v="30"/>
    <d v="2016-06-15T00:00:00"/>
    <d v="1899-12-30T14:29:00"/>
    <s v="Cape Canaveral AFS LC-40"/>
    <s v="Falcon 9 Full Thrust (v1.2)"/>
    <x v="34"/>
    <x v="2"/>
    <n v="3600"/>
    <s v="Geostationary Transfer Orbit"/>
    <s v="Asia Broadcast Satellite"/>
    <s v="Business"/>
    <x v="7"/>
    <s v="Success"/>
    <s v="N/A - Succesful Mission"/>
    <s v="Ship"/>
    <x v="1"/>
    <x v="9"/>
    <x v="1"/>
    <n v="0"/>
  </r>
  <r>
    <x v="30"/>
    <d v="2016-06-15T00:00:00"/>
    <d v="1899-12-30T14:29:00"/>
    <s v="Cape Canaveral AFS LC-40"/>
    <s v="Falcon 9 Full Thrust (v1.2)"/>
    <x v="35"/>
    <x v="2"/>
    <n v="3600"/>
    <s v="Geostationary Transfer Orbit"/>
    <s v="Eutelsat (Satmex)"/>
    <s v="Business"/>
    <x v="8"/>
    <s v="Success"/>
    <s v="N/A - Succesful Mission"/>
    <s v="Ship"/>
    <x v="1"/>
    <x v="9"/>
    <x v="1"/>
    <n v="0"/>
  </r>
  <r>
    <x v="31"/>
    <d v="2016-07-18T00:00:00"/>
    <d v="1899-12-30T04:45:00"/>
    <s v="Cape Canaveral AFS LC-40"/>
    <s v="Falcon 9 Full Thrust (v1.2)"/>
    <x v="36"/>
    <x v="6"/>
    <n v="2257"/>
    <s v="Low Earth Orbit"/>
    <s v="NASA"/>
    <s v="Government"/>
    <x v="0"/>
    <s v="Success"/>
    <s v="N/A - Succesful Mission"/>
    <s v="Land"/>
    <x v="2"/>
    <x v="9"/>
    <x v="1"/>
    <n v="1"/>
  </r>
  <r>
    <x v="32"/>
    <d v="2016-08-14T00:00:00"/>
    <d v="1899-12-30T05:26:00"/>
    <s v="Cape Canaveral AFS LC-40"/>
    <s v="Falcon 9 Full Thrust (v1.2)"/>
    <x v="37"/>
    <x v="2"/>
    <n v="4600"/>
    <s v="Geostationary Transfer Orbit"/>
    <s v="SKY Perfect JSAT Group"/>
    <s v="Business"/>
    <x v="10"/>
    <s v="Success"/>
    <s v="N/A - Succesful Mission"/>
    <s v="Ship"/>
    <x v="2"/>
    <x v="9"/>
    <x v="1"/>
    <n v="1"/>
  </r>
  <r>
    <x v="33"/>
    <d v="2016-09-01T00:00:00"/>
    <d v="1899-12-30T13:07:00"/>
    <s v="Cape Canaveral AFS LC-40"/>
    <s v="Falcon 9 Full Thrust (v1.2)"/>
    <x v="38"/>
    <x v="2"/>
    <n v="5500"/>
    <s v="Geostationary Transfer Orbit"/>
    <s v="Spacecom"/>
    <s v="Business"/>
    <x v="11"/>
    <s v="Failure"/>
    <s v="Vehicle Explosion Before Launch"/>
    <s v="No Landing Attempted"/>
    <x v="0"/>
    <x v="9"/>
    <x v="0"/>
    <n v="0"/>
  </r>
  <r>
    <x v="34"/>
    <d v="2017-01-14T00:00:00"/>
    <d v="1899-12-30T17:54:00"/>
    <s v="Vandenberg AFB SLC-4E"/>
    <s v="Falcon 9 Full Thrust (v1.2)"/>
    <x v="39"/>
    <x v="2"/>
    <n v="9600"/>
    <s v="Low Earth Orbit"/>
    <s v="Iridium Communications"/>
    <s v="Business"/>
    <x v="0"/>
    <s v="Success"/>
    <s v="N/A - Succesful Mission"/>
    <s v="Ship"/>
    <x v="2"/>
    <x v="10"/>
    <x v="1"/>
    <n v="1"/>
  </r>
  <r>
    <x v="35"/>
    <d v="2017-02-19T00:00:00"/>
    <d v="1899-12-30T14:39:00"/>
    <s v="Kennedy Space Center LC-39A"/>
    <s v="Falcon 9 Full Thrust (v1.2)"/>
    <x v="40"/>
    <x v="6"/>
    <n v="2490"/>
    <s v="Low Earth Orbit"/>
    <s v="NASA"/>
    <s v="Government"/>
    <x v="0"/>
    <s v="Success"/>
    <s v="N/A - Succesful Mission"/>
    <s v="Land"/>
    <x v="2"/>
    <x v="10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9A5541-471F-4532-8F36-641AD317FDE2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Year of Launch">
  <location ref="A7:C19" firstHeaderRow="0" firstDataRow="1" firstDataCol="1"/>
  <pivotFields count="19">
    <pivotField dataField="1" showAll="0">
      <items count="37">
        <item x="0"/>
        <item x="1"/>
        <item x="2"/>
        <item x="3"/>
        <item x="4"/>
        <item x="5"/>
        <item x="14"/>
        <item x="15"/>
        <item x="16"/>
        <item x="17"/>
        <item x="18"/>
        <item x="19"/>
        <item x="20"/>
        <item x="21"/>
        <item x="22"/>
        <item x="23"/>
        <item x="6"/>
        <item x="25"/>
        <item x="7"/>
        <item x="8"/>
        <item x="9"/>
        <item x="10"/>
        <item x="11"/>
        <item x="12"/>
        <item x="13"/>
        <item x="24"/>
        <item x="34"/>
        <item x="35"/>
        <item x="26"/>
        <item x="27"/>
        <item x="28"/>
        <item x="29"/>
        <item x="30"/>
        <item x="31"/>
        <item x="32"/>
        <item x="33"/>
        <item t="default"/>
      </items>
    </pivotField>
    <pivotField numFmtId="15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</pivotFields>
  <rowFields count="1">
    <field x="1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Number of Launches" fld="0" subtotal="count" baseField="0" baseItem="0"/>
    <dataField name=" Mission Success Rate" fld="17" subtotal="average" baseField="16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7C601C-48B3-4D0A-AB15-0060F5F8E5D4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Year of Launch">
  <location ref="A42:B54" firstHeaderRow="1" firstDataRow="1" firstDataCol="1"/>
  <pivotFields count="19">
    <pivotField showAll="0"/>
    <pivotField numFmtId="15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dataField="1" showAll="0"/>
  </pivotFields>
  <rowFields count="1">
    <field x="16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 Landing Success Rate" fld="18" subtotal="average" baseField="16" baseItem="0" numFmtId="9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2D3838-2FCF-4172-B12A-4A176C910E86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Customer Country">
  <location ref="A24:B37" firstHeaderRow="1" firstDataRow="1" firstDataCol="1"/>
  <pivotFields count="19">
    <pivotField dataField="1" showAll="0"/>
    <pivotField numFmtId="15" showAll="0"/>
    <pivotField numFmtId="20" showAll="0"/>
    <pivotField showAll="0"/>
    <pivotField showAll="0"/>
    <pivotField showAll="0">
      <items count="42">
        <item x="34"/>
        <item x="23"/>
        <item x="38"/>
        <item x="19"/>
        <item x="18"/>
        <item x="13"/>
        <item x="1"/>
        <item x="7"/>
        <item x="22"/>
        <item x="24"/>
        <item x="35"/>
        <item x="4"/>
        <item x="0"/>
        <item x="39"/>
        <item x="29"/>
        <item x="32"/>
        <item x="37"/>
        <item x="17"/>
        <item x="28"/>
        <item x="11"/>
        <item x="3"/>
        <item x="5"/>
        <item x="6"/>
        <item x="14"/>
        <item x="30"/>
        <item x="8"/>
        <item x="9"/>
        <item x="10"/>
        <item x="40"/>
        <item x="12"/>
        <item x="16"/>
        <item x="20"/>
        <item x="21"/>
        <item x="25"/>
        <item x="27"/>
        <item x="31"/>
        <item x="36"/>
        <item x="15"/>
        <item x="33"/>
        <item x="2"/>
        <item x="26"/>
        <item t="default"/>
      </items>
    </pivotField>
    <pivotField showAll="0">
      <items count="9">
        <item x="1"/>
        <item x="2"/>
        <item x="7"/>
        <item x="4"/>
        <item x="0"/>
        <item x="3"/>
        <item x="6"/>
        <item x="5"/>
        <item t="default"/>
      </items>
    </pivotField>
    <pivotField showAll="0"/>
    <pivotField showAll="0"/>
    <pivotField showAll="0"/>
    <pivotField showAll="0"/>
    <pivotField axis="axisRow" showAll="0" sortType="ascending">
      <items count="13">
        <item x="7"/>
        <item x="3"/>
        <item x="6"/>
        <item x="1"/>
        <item x="8"/>
        <item x="11"/>
        <item x="10"/>
        <item x="4"/>
        <item x="2"/>
        <item x="5"/>
        <item x="9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 Number of Launches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5FD2A-854D-4D68-A8EE-77FCD2C6BB69}">
  <dimension ref="A1:P42"/>
  <sheetViews>
    <sheetView workbookViewId="0">
      <selection activeCell="J8" sqref="J8"/>
    </sheetView>
  </sheetViews>
  <sheetFormatPr defaultRowHeight="15" x14ac:dyDescent="0.25"/>
  <cols>
    <col min="1" max="1" width="13.85546875" bestFit="1" customWidth="1"/>
    <col min="2" max="2" width="11.7109375" bestFit="1" customWidth="1"/>
    <col min="3" max="3" width="12" bestFit="1" customWidth="1"/>
    <col min="4" max="4" width="27.85546875" bestFit="1" customWidth="1"/>
    <col min="5" max="5" width="23.7109375" bestFit="1" customWidth="1"/>
    <col min="6" max="6" width="33.5703125" bestFit="1" customWidth="1"/>
    <col min="7" max="7" width="32.42578125" bestFit="1" customWidth="1"/>
    <col min="8" max="8" width="16.85546875" bestFit="1" customWidth="1"/>
    <col min="9" max="9" width="26.7109375" bestFit="1" customWidth="1"/>
    <col min="10" max="10" width="24.42578125" bestFit="1" customWidth="1"/>
    <col min="11" max="11" width="14.42578125" bestFit="1" customWidth="1"/>
    <col min="12" max="12" width="17.28515625" bestFit="1" customWidth="1"/>
    <col min="13" max="13" width="16.5703125" bestFit="1" customWidth="1"/>
    <col min="14" max="14" width="30.42578125" bestFit="1" customWidth="1"/>
    <col min="15" max="15" width="12.5703125" bestFit="1" customWidth="1"/>
    <col min="16" max="16" width="16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s="1">
        <v>38800</v>
      </c>
      <c r="C2" s="2">
        <v>0.9375</v>
      </c>
      <c r="D2" t="s">
        <v>17</v>
      </c>
      <c r="E2" t="s">
        <v>18</v>
      </c>
      <c r="F2" t="s">
        <v>19</v>
      </c>
      <c r="G2" t="s">
        <v>20</v>
      </c>
      <c r="H2">
        <v>19.5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</row>
    <row r="3" spans="1:16" x14ac:dyDescent="0.25">
      <c r="A3" t="s">
        <v>26</v>
      </c>
      <c r="B3" s="1">
        <v>39162</v>
      </c>
      <c r="C3" s="2">
        <v>4.8611111111111112E-2</v>
      </c>
      <c r="D3" t="s">
        <v>17</v>
      </c>
      <c r="E3" t="s">
        <v>18</v>
      </c>
      <c r="F3" t="s">
        <v>27</v>
      </c>
      <c r="J3" t="s">
        <v>21</v>
      </c>
      <c r="K3" t="s">
        <v>22</v>
      </c>
      <c r="L3" t="s">
        <v>23</v>
      </c>
      <c r="M3" t="s">
        <v>24</v>
      </c>
      <c r="N3" t="s">
        <v>28</v>
      </c>
    </row>
    <row r="4" spans="1:16" x14ac:dyDescent="0.25">
      <c r="A4" t="s">
        <v>29</v>
      </c>
      <c r="B4" s="1">
        <v>39663</v>
      </c>
      <c r="C4" s="2">
        <v>0.14861111111111111</v>
      </c>
      <c r="D4" t="s">
        <v>17</v>
      </c>
      <c r="E4" t="s">
        <v>18</v>
      </c>
      <c r="F4" t="s">
        <v>30</v>
      </c>
      <c r="G4" t="s">
        <v>31</v>
      </c>
      <c r="J4" t="s">
        <v>32</v>
      </c>
      <c r="K4" t="s">
        <v>22</v>
      </c>
      <c r="L4" t="s">
        <v>23</v>
      </c>
      <c r="M4" t="s">
        <v>24</v>
      </c>
      <c r="N4" t="s">
        <v>33</v>
      </c>
    </row>
    <row r="5" spans="1:16" x14ac:dyDescent="0.25">
      <c r="A5" t="s">
        <v>29</v>
      </c>
      <c r="B5" s="1">
        <v>39663</v>
      </c>
      <c r="C5" s="2">
        <v>0.14861111111111111</v>
      </c>
      <c r="D5" t="s">
        <v>17</v>
      </c>
      <c r="E5" t="s">
        <v>18</v>
      </c>
      <c r="F5" t="s">
        <v>34</v>
      </c>
      <c r="G5" t="s">
        <v>35</v>
      </c>
      <c r="H5">
        <v>8</v>
      </c>
      <c r="J5" t="s">
        <v>36</v>
      </c>
      <c r="K5" t="s">
        <v>22</v>
      </c>
      <c r="L5" t="s">
        <v>23</v>
      </c>
      <c r="M5" t="s">
        <v>24</v>
      </c>
      <c r="N5" t="s">
        <v>33</v>
      </c>
    </row>
    <row r="6" spans="1:16" x14ac:dyDescent="0.25">
      <c r="A6" t="s">
        <v>29</v>
      </c>
      <c r="B6" s="1">
        <v>39663</v>
      </c>
      <c r="C6" s="2">
        <v>0.14861111111111111</v>
      </c>
      <c r="D6" t="s">
        <v>17</v>
      </c>
      <c r="E6" t="s">
        <v>18</v>
      </c>
      <c r="F6" t="s">
        <v>37</v>
      </c>
      <c r="G6" t="s">
        <v>38</v>
      </c>
      <c r="J6" t="s">
        <v>39</v>
      </c>
      <c r="K6" t="s">
        <v>40</v>
      </c>
      <c r="L6" t="s">
        <v>23</v>
      </c>
      <c r="M6" t="s">
        <v>24</v>
      </c>
      <c r="N6" t="s">
        <v>33</v>
      </c>
    </row>
    <row r="7" spans="1:16" x14ac:dyDescent="0.25">
      <c r="A7" t="s">
        <v>41</v>
      </c>
      <c r="B7" s="1">
        <v>39719</v>
      </c>
      <c r="C7" s="2">
        <v>0.96875</v>
      </c>
      <c r="D7" t="s">
        <v>17</v>
      </c>
      <c r="E7" t="s">
        <v>18</v>
      </c>
      <c r="F7" t="s">
        <v>42</v>
      </c>
      <c r="H7">
        <v>165</v>
      </c>
      <c r="I7" t="s">
        <v>43</v>
      </c>
      <c r="M7" t="s">
        <v>44</v>
      </c>
    </row>
    <row r="8" spans="1:16" x14ac:dyDescent="0.25">
      <c r="A8" t="s">
        <v>45</v>
      </c>
      <c r="B8" s="1">
        <v>40008</v>
      </c>
      <c r="C8" s="2">
        <v>0.14930555555555555</v>
      </c>
      <c r="D8" t="s">
        <v>17</v>
      </c>
      <c r="E8" t="s">
        <v>18</v>
      </c>
      <c r="F8" t="s">
        <v>46</v>
      </c>
      <c r="G8" t="s">
        <v>47</v>
      </c>
      <c r="H8">
        <v>180</v>
      </c>
      <c r="I8" t="s">
        <v>43</v>
      </c>
      <c r="J8" t="s">
        <v>48</v>
      </c>
      <c r="K8" t="s">
        <v>22</v>
      </c>
      <c r="L8" t="s">
        <v>49</v>
      </c>
      <c r="M8" t="s">
        <v>44</v>
      </c>
    </row>
    <row r="9" spans="1:16" x14ac:dyDescent="0.25">
      <c r="A9" t="s">
        <v>50</v>
      </c>
      <c r="B9" s="1">
        <v>40333</v>
      </c>
      <c r="C9" s="2">
        <v>0.78125</v>
      </c>
      <c r="D9" t="s">
        <v>51</v>
      </c>
      <c r="E9" t="s">
        <v>52</v>
      </c>
      <c r="F9" t="s">
        <v>53</v>
      </c>
      <c r="I9" t="s">
        <v>43</v>
      </c>
      <c r="M9" t="s">
        <v>44</v>
      </c>
      <c r="O9" t="s">
        <v>54</v>
      </c>
      <c r="P9" t="s">
        <v>24</v>
      </c>
    </row>
    <row r="10" spans="1:16" x14ac:dyDescent="0.25">
      <c r="A10" t="s">
        <v>55</v>
      </c>
      <c r="B10" s="1">
        <v>40520</v>
      </c>
      <c r="C10" s="2">
        <v>0.65486111111111112</v>
      </c>
      <c r="D10" t="s">
        <v>51</v>
      </c>
      <c r="E10" t="s">
        <v>52</v>
      </c>
      <c r="F10" t="s">
        <v>56</v>
      </c>
      <c r="G10" t="s">
        <v>57</v>
      </c>
      <c r="I10" t="s">
        <v>43</v>
      </c>
      <c r="J10" t="s">
        <v>36</v>
      </c>
      <c r="K10" t="s">
        <v>22</v>
      </c>
      <c r="L10" t="s">
        <v>23</v>
      </c>
      <c r="M10" t="s">
        <v>44</v>
      </c>
      <c r="O10" t="s">
        <v>54</v>
      </c>
      <c r="P10" t="s">
        <v>24</v>
      </c>
    </row>
    <row r="11" spans="1:16" x14ac:dyDescent="0.25">
      <c r="A11" t="s">
        <v>58</v>
      </c>
      <c r="B11" s="1">
        <v>41051</v>
      </c>
      <c r="C11" s="2">
        <v>0.32222222222222224</v>
      </c>
      <c r="D11" t="s">
        <v>51</v>
      </c>
      <c r="E11" t="s">
        <v>52</v>
      </c>
      <c r="F11" t="s">
        <v>59</v>
      </c>
      <c r="G11" t="s">
        <v>57</v>
      </c>
      <c r="I11" t="s">
        <v>43</v>
      </c>
      <c r="J11" t="s">
        <v>36</v>
      </c>
      <c r="K11" t="s">
        <v>22</v>
      </c>
      <c r="L11" t="s">
        <v>23</v>
      </c>
      <c r="M11" t="s">
        <v>44</v>
      </c>
    </row>
    <row r="12" spans="1:16" x14ac:dyDescent="0.25">
      <c r="A12" t="s">
        <v>60</v>
      </c>
      <c r="B12" s="1">
        <v>41190</v>
      </c>
      <c r="C12" s="2">
        <v>2.4305555555555556E-2</v>
      </c>
      <c r="D12" t="s">
        <v>51</v>
      </c>
      <c r="E12" t="s">
        <v>52</v>
      </c>
      <c r="F12" t="s">
        <v>61</v>
      </c>
      <c r="G12" t="s">
        <v>57</v>
      </c>
      <c r="H12">
        <v>500</v>
      </c>
      <c r="I12" t="s">
        <v>43</v>
      </c>
      <c r="J12" t="s">
        <v>36</v>
      </c>
      <c r="K12" t="s">
        <v>22</v>
      </c>
      <c r="L12" t="s">
        <v>23</v>
      </c>
      <c r="M12" t="s">
        <v>44</v>
      </c>
    </row>
    <row r="13" spans="1:16" x14ac:dyDescent="0.25">
      <c r="A13" t="s">
        <v>60</v>
      </c>
      <c r="B13" s="1">
        <v>41190</v>
      </c>
      <c r="C13" s="2">
        <v>2.4305555555555556E-2</v>
      </c>
      <c r="D13" t="s">
        <v>51</v>
      </c>
      <c r="E13" t="s">
        <v>52</v>
      </c>
      <c r="F13" t="s">
        <v>62</v>
      </c>
      <c r="G13" t="s">
        <v>31</v>
      </c>
      <c r="H13">
        <v>150</v>
      </c>
      <c r="I13" t="s">
        <v>43</v>
      </c>
      <c r="J13" t="s">
        <v>63</v>
      </c>
      <c r="K13" t="s">
        <v>40</v>
      </c>
      <c r="L13" t="s">
        <v>23</v>
      </c>
      <c r="M13" t="s">
        <v>24</v>
      </c>
      <c r="N13" t="s">
        <v>64</v>
      </c>
    </row>
    <row r="14" spans="1:16" x14ac:dyDescent="0.25">
      <c r="A14" t="s">
        <v>65</v>
      </c>
      <c r="B14" s="1">
        <v>41334</v>
      </c>
      <c r="C14" s="2">
        <v>0.63194444444444442</v>
      </c>
      <c r="D14" t="s">
        <v>51</v>
      </c>
      <c r="E14" t="s">
        <v>52</v>
      </c>
      <c r="F14" t="s">
        <v>66</v>
      </c>
      <c r="G14" t="s">
        <v>57</v>
      </c>
      <c r="H14">
        <v>677</v>
      </c>
      <c r="I14" t="s">
        <v>43</v>
      </c>
      <c r="J14" t="s">
        <v>36</v>
      </c>
      <c r="K14" t="s">
        <v>22</v>
      </c>
      <c r="L14" t="s">
        <v>23</v>
      </c>
      <c r="M14" t="s">
        <v>44</v>
      </c>
    </row>
    <row r="15" spans="1:16" x14ac:dyDescent="0.25">
      <c r="A15" t="s">
        <v>67</v>
      </c>
      <c r="B15" s="1">
        <v>41546</v>
      </c>
      <c r="C15" s="2">
        <v>0.66666666666666663</v>
      </c>
      <c r="D15" t="s">
        <v>68</v>
      </c>
      <c r="E15" t="s">
        <v>69</v>
      </c>
      <c r="F15" t="s">
        <v>70</v>
      </c>
      <c r="G15" t="s">
        <v>71</v>
      </c>
      <c r="H15">
        <v>500</v>
      </c>
      <c r="I15" t="s">
        <v>72</v>
      </c>
      <c r="J15" t="s">
        <v>73</v>
      </c>
      <c r="K15" t="s">
        <v>40</v>
      </c>
      <c r="L15" t="s">
        <v>74</v>
      </c>
      <c r="M15" t="s">
        <v>44</v>
      </c>
      <c r="O15" t="s">
        <v>75</v>
      </c>
      <c r="P15" t="s">
        <v>24</v>
      </c>
    </row>
    <row r="16" spans="1:16" x14ac:dyDescent="0.25">
      <c r="A16" t="s">
        <v>76</v>
      </c>
      <c r="B16" s="1">
        <v>41611</v>
      </c>
      <c r="C16" s="2">
        <v>0.94513888888888886</v>
      </c>
      <c r="D16" t="s">
        <v>51</v>
      </c>
      <c r="E16" t="s">
        <v>69</v>
      </c>
      <c r="F16" t="s">
        <v>77</v>
      </c>
      <c r="G16" t="s">
        <v>31</v>
      </c>
      <c r="H16">
        <v>3170</v>
      </c>
      <c r="I16" t="s">
        <v>78</v>
      </c>
      <c r="J16" t="s">
        <v>79</v>
      </c>
      <c r="K16" t="s">
        <v>40</v>
      </c>
      <c r="L16" t="s">
        <v>80</v>
      </c>
      <c r="M16" t="s">
        <v>44</v>
      </c>
      <c r="O16" t="s">
        <v>81</v>
      </c>
    </row>
    <row r="17" spans="1:16" x14ac:dyDescent="0.25">
      <c r="A17" t="s">
        <v>82</v>
      </c>
      <c r="B17" s="1">
        <v>41979</v>
      </c>
      <c r="C17" s="2">
        <v>0.92083333333333339</v>
      </c>
      <c r="D17" t="s">
        <v>51</v>
      </c>
      <c r="E17" t="s">
        <v>69</v>
      </c>
      <c r="F17" t="s">
        <v>83</v>
      </c>
      <c r="G17" t="s">
        <v>31</v>
      </c>
      <c r="H17">
        <v>3325</v>
      </c>
      <c r="I17" t="s">
        <v>78</v>
      </c>
      <c r="J17" t="s">
        <v>84</v>
      </c>
      <c r="K17" t="s">
        <v>40</v>
      </c>
      <c r="L17" t="s">
        <v>85</v>
      </c>
      <c r="M17" t="s">
        <v>44</v>
      </c>
      <c r="O17" t="s">
        <v>81</v>
      </c>
    </row>
    <row r="18" spans="1:16" x14ac:dyDescent="0.25">
      <c r="A18" t="s">
        <v>86</v>
      </c>
      <c r="B18" s="1">
        <v>41747</v>
      </c>
      <c r="C18" s="2">
        <v>0.80902777777777779</v>
      </c>
      <c r="D18" t="s">
        <v>51</v>
      </c>
      <c r="E18" t="s">
        <v>69</v>
      </c>
      <c r="F18" t="s">
        <v>87</v>
      </c>
      <c r="G18" t="s">
        <v>57</v>
      </c>
      <c r="H18">
        <v>2296</v>
      </c>
      <c r="I18" t="s">
        <v>43</v>
      </c>
      <c r="J18" t="s">
        <v>36</v>
      </c>
      <c r="K18" t="s">
        <v>22</v>
      </c>
      <c r="L18" t="s">
        <v>23</v>
      </c>
      <c r="M18" t="s">
        <v>44</v>
      </c>
      <c r="O18" t="s">
        <v>75</v>
      </c>
      <c r="P18" t="s">
        <v>44</v>
      </c>
    </row>
    <row r="19" spans="1:16" x14ac:dyDescent="0.25">
      <c r="A19" t="s">
        <v>88</v>
      </c>
      <c r="B19" s="1">
        <v>41834</v>
      </c>
      <c r="C19" s="2">
        <v>0.63541666666666663</v>
      </c>
      <c r="D19" t="s">
        <v>51</v>
      </c>
      <c r="E19" t="s">
        <v>69</v>
      </c>
      <c r="F19" t="s">
        <v>89</v>
      </c>
      <c r="G19" t="s">
        <v>31</v>
      </c>
      <c r="I19" t="s">
        <v>43</v>
      </c>
      <c r="J19" t="s">
        <v>63</v>
      </c>
      <c r="K19" t="s">
        <v>40</v>
      </c>
      <c r="L19" t="s">
        <v>23</v>
      </c>
      <c r="M19" t="s">
        <v>44</v>
      </c>
      <c r="O19" t="s">
        <v>75</v>
      </c>
      <c r="P19" t="s">
        <v>44</v>
      </c>
    </row>
    <row r="20" spans="1:16" x14ac:dyDescent="0.25">
      <c r="A20" t="s">
        <v>90</v>
      </c>
      <c r="B20" s="1">
        <v>41856</v>
      </c>
      <c r="C20" s="2">
        <v>0.33333333333333331</v>
      </c>
      <c r="D20" t="s">
        <v>51</v>
      </c>
      <c r="E20" t="s">
        <v>69</v>
      </c>
      <c r="F20" t="s">
        <v>91</v>
      </c>
      <c r="G20" t="s">
        <v>31</v>
      </c>
      <c r="H20">
        <v>4535</v>
      </c>
      <c r="I20" t="s">
        <v>78</v>
      </c>
      <c r="J20" t="s">
        <v>92</v>
      </c>
      <c r="K20" t="s">
        <v>40</v>
      </c>
      <c r="L20" t="s">
        <v>93</v>
      </c>
      <c r="M20" t="s">
        <v>44</v>
      </c>
      <c r="O20" t="s">
        <v>81</v>
      </c>
    </row>
    <row r="21" spans="1:16" x14ac:dyDescent="0.25">
      <c r="A21" t="s">
        <v>94</v>
      </c>
      <c r="B21" s="1">
        <v>41889</v>
      </c>
      <c r="C21" s="2">
        <v>0.20833333333333334</v>
      </c>
      <c r="D21" t="s">
        <v>51</v>
      </c>
      <c r="E21" t="s">
        <v>69</v>
      </c>
      <c r="F21" t="s">
        <v>95</v>
      </c>
      <c r="G21" t="s">
        <v>31</v>
      </c>
      <c r="H21">
        <v>4428</v>
      </c>
      <c r="I21" t="s">
        <v>78</v>
      </c>
      <c r="J21" t="s">
        <v>92</v>
      </c>
      <c r="K21" t="s">
        <v>40</v>
      </c>
      <c r="L21" t="s">
        <v>93</v>
      </c>
      <c r="M21" t="s">
        <v>44</v>
      </c>
      <c r="O21" t="s">
        <v>81</v>
      </c>
    </row>
    <row r="22" spans="1:16" x14ac:dyDescent="0.25">
      <c r="A22" t="s">
        <v>96</v>
      </c>
      <c r="B22" s="1">
        <v>41903</v>
      </c>
      <c r="C22" s="2">
        <v>0.24444444444444446</v>
      </c>
      <c r="D22" t="s">
        <v>51</v>
      </c>
      <c r="E22" t="s">
        <v>69</v>
      </c>
      <c r="F22" t="s">
        <v>97</v>
      </c>
      <c r="G22" t="s">
        <v>57</v>
      </c>
      <c r="H22">
        <v>2216</v>
      </c>
      <c r="I22" t="s">
        <v>78</v>
      </c>
      <c r="J22" t="s">
        <v>36</v>
      </c>
      <c r="K22" t="s">
        <v>22</v>
      </c>
      <c r="L22" t="s">
        <v>23</v>
      </c>
      <c r="M22" t="s">
        <v>44</v>
      </c>
      <c r="O22" t="s">
        <v>75</v>
      </c>
      <c r="P22" t="s">
        <v>44</v>
      </c>
    </row>
    <row r="23" spans="1:16" x14ac:dyDescent="0.25">
      <c r="A23" t="s">
        <v>98</v>
      </c>
      <c r="B23" s="1">
        <v>42014</v>
      </c>
      <c r="C23" s="2">
        <v>0.40763888888888888</v>
      </c>
      <c r="D23" t="s">
        <v>51</v>
      </c>
      <c r="E23" t="s">
        <v>69</v>
      </c>
      <c r="F23" t="s">
        <v>99</v>
      </c>
      <c r="G23" t="s">
        <v>57</v>
      </c>
      <c r="H23">
        <v>2395</v>
      </c>
      <c r="I23" t="s">
        <v>43</v>
      </c>
      <c r="J23" t="s">
        <v>36</v>
      </c>
      <c r="K23" t="s">
        <v>22</v>
      </c>
      <c r="L23" t="s">
        <v>23</v>
      </c>
      <c r="M23" t="s">
        <v>44</v>
      </c>
      <c r="O23" t="s">
        <v>100</v>
      </c>
      <c r="P23" t="s">
        <v>24</v>
      </c>
    </row>
    <row r="24" spans="1:16" x14ac:dyDescent="0.25">
      <c r="A24" t="s">
        <v>101</v>
      </c>
      <c r="B24" s="1">
        <v>42046</v>
      </c>
      <c r="C24" s="2">
        <v>0.9604166666666667</v>
      </c>
      <c r="D24" t="s">
        <v>51</v>
      </c>
      <c r="E24" t="s">
        <v>69</v>
      </c>
      <c r="F24" t="s">
        <v>102</v>
      </c>
      <c r="G24" t="s">
        <v>47</v>
      </c>
      <c r="H24">
        <v>570</v>
      </c>
      <c r="I24" t="s">
        <v>103</v>
      </c>
      <c r="J24" t="s">
        <v>104</v>
      </c>
      <c r="K24" t="s">
        <v>22</v>
      </c>
      <c r="L24" t="s">
        <v>23</v>
      </c>
      <c r="M24" t="s">
        <v>44</v>
      </c>
      <c r="O24" t="s">
        <v>75</v>
      </c>
      <c r="P24" t="s">
        <v>44</v>
      </c>
    </row>
    <row r="25" spans="1:16" x14ac:dyDescent="0.25">
      <c r="A25" t="s">
        <v>105</v>
      </c>
      <c r="B25" s="1">
        <v>42065</v>
      </c>
      <c r="C25" s="2">
        <v>0.15972222222222224</v>
      </c>
      <c r="D25" t="s">
        <v>51</v>
      </c>
      <c r="E25" t="s">
        <v>69</v>
      </c>
      <c r="F25" t="s">
        <v>106</v>
      </c>
      <c r="G25" t="s">
        <v>31</v>
      </c>
      <c r="H25">
        <v>4159</v>
      </c>
      <c r="I25" t="s">
        <v>78</v>
      </c>
      <c r="J25" t="s">
        <v>107</v>
      </c>
      <c r="K25" t="s">
        <v>40</v>
      </c>
      <c r="L25" t="s">
        <v>108</v>
      </c>
      <c r="M25" t="s">
        <v>44</v>
      </c>
      <c r="O25" t="s">
        <v>81</v>
      </c>
    </row>
    <row r="26" spans="1:16" x14ac:dyDescent="0.25">
      <c r="A26" t="s">
        <v>105</v>
      </c>
      <c r="B26" s="1">
        <v>42065</v>
      </c>
      <c r="C26" s="2">
        <v>0.15972222222222224</v>
      </c>
      <c r="D26" t="s">
        <v>51</v>
      </c>
      <c r="E26" t="s">
        <v>69</v>
      </c>
      <c r="F26" t="s">
        <v>109</v>
      </c>
      <c r="G26" t="s">
        <v>31</v>
      </c>
      <c r="H26">
        <v>4159</v>
      </c>
      <c r="I26" t="s">
        <v>78</v>
      </c>
      <c r="J26" t="s">
        <v>110</v>
      </c>
      <c r="K26" t="s">
        <v>40</v>
      </c>
      <c r="L26" t="s">
        <v>111</v>
      </c>
      <c r="M26" t="s">
        <v>44</v>
      </c>
      <c r="O26" t="s">
        <v>81</v>
      </c>
    </row>
    <row r="27" spans="1:16" x14ac:dyDescent="0.25">
      <c r="A27" t="s">
        <v>112</v>
      </c>
      <c r="B27" s="1">
        <v>42108</v>
      </c>
      <c r="C27" s="2">
        <v>0.84027777777777779</v>
      </c>
      <c r="D27" t="s">
        <v>51</v>
      </c>
      <c r="E27" t="s">
        <v>69</v>
      </c>
      <c r="F27" t="s">
        <v>113</v>
      </c>
      <c r="G27" t="s">
        <v>57</v>
      </c>
      <c r="H27">
        <v>1898</v>
      </c>
      <c r="I27" t="s">
        <v>43</v>
      </c>
      <c r="J27" t="s">
        <v>36</v>
      </c>
      <c r="K27" t="s">
        <v>22</v>
      </c>
      <c r="L27" t="s">
        <v>23</v>
      </c>
      <c r="M27" t="s">
        <v>44</v>
      </c>
      <c r="O27" t="s">
        <v>100</v>
      </c>
      <c r="P27" t="s">
        <v>24</v>
      </c>
    </row>
    <row r="28" spans="1:16" x14ac:dyDescent="0.25">
      <c r="A28" t="s">
        <v>114</v>
      </c>
      <c r="B28" s="1">
        <v>42121</v>
      </c>
      <c r="C28" s="2">
        <v>0.9604166666666667</v>
      </c>
      <c r="D28" t="s">
        <v>51</v>
      </c>
      <c r="E28" t="s">
        <v>69</v>
      </c>
      <c r="F28" t="s">
        <v>115</v>
      </c>
      <c r="G28" t="s">
        <v>31</v>
      </c>
      <c r="H28">
        <v>4707</v>
      </c>
      <c r="I28" t="s">
        <v>78</v>
      </c>
      <c r="J28" t="s">
        <v>116</v>
      </c>
      <c r="K28" t="s">
        <v>22</v>
      </c>
      <c r="L28" t="s">
        <v>117</v>
      </c>
      <c r="M28" t="s">
        <v>44</v>
      </c>
      <c r="O28" t="s">
        <v>81</v>
      </c>
    </row>
    <row r="29" spans="1:16" x14ac:dyDescent="0.25">
      <c r="A29" t="s">
        <v>118</v>
      </c>
      <c r="B29" s="1">
        <v>42183</v>
      </c>
      <c r="C29" s="2">
        <v>0.59791666666666665</v>
      </c>
      <c r="D29" t="s">
        <v>51</v>
      </c>
      <c r="E29" t="s">
        <v>69</v>
      </c>
      <c r="F29" t="s">
        <v>119</v>
      </c>
      <c r="G29" t="s">
        <v>57</v>
      </c>
      <c r="H29">
        <v>1952</v>
      </c>
      <c r="I29" t="s">
        <v>43</v>
      </c>
      <c r="J29" t="s">
        <v>36</v>
      </c>
      <c r="K29" t="s">
        <v>22</v>
      </c>
      <c r="L29" t="s">
        <v>23</v>
      </c>
      <c r="M29" t="s">
        <v>24</v>
      </c>
      <c r="N29" t="s">
        <v>120</v>
      </c>
    </row>
    <row r="30" spans="1:16" x14ac:dyDescent="0.25">
      <c r="A30" t="s">
        <v>121</v>
      </c>
      <c r="B30" s="1">
        <v>42360</v>
      </c>
      <c r="C30" s="2">
        <v>6.1805555555555558E-2</v>
      </c>
      <c r="D30" t="s">
        <v>51</v>
      </c>
      <c r="E30" t="s">
        <v>122</v>
      </c>
      <c r="F30" t="s">
        <v>123</v>
      </c>
      <c r="G30" t="s">
        <v>31</v>
      </c>
      <c r="I30" t="s">
        <v>43</v>
      </c>
      <c r="J30" t="s">
        <v>63</v>
      </c>
      <c r="K30" t="s">
        <v>40</v>
      </c>
      <c r="L30" t="s">
        <v>23</v>
      </c>
      <c r="M30" t="s">
        <v>44</v>
      </c>
      <c r="O30" t="s">
        <v>124</v>
      </c>
      <c r="P30" t="s">
        <v>44</v>
      </c>
    </row>
    <row r="31" spans="1:16" x14ac:dyDescent="0.25">
      <c r="A31" t="s">
        <v>125</v>
      </c>
      <c r="B31" s="1">
        <v>42386</v>
      </c>
      <c r="C31" s="2">
        <v>0.77916666666666667</v>
      </c>
      <c r="D31" t="s">
        <v>68</v>
      </c>
      <c r="E31" t="s">
        <v>69</v>
      </c>
      <c r="F31" t="s">
        <v>126</v>
      </c>
      <c r="G31" t="s">
        <v>47</v>
      </c>
      <c r="H31">
        <v>553</v>
      </c>
      <c r="I31" t="s">
        <v>43</v>
      </c>
      <c r="J31" t="s">
        <v>127</v>
      </c>
      <c r="K31" t="s">
        <v>22</v>
      </c>
      <c r="L31" t="s">
        <v>23</v>
      </c>
      <c r="M31" t="s">
        <v>44</v>
      </c>
      <c r="O31" t="s">
        <v>100</v>
      </c>
      <c r="P31" t="s">
        <v>24</v>
      </c>
    </row>
    <row r="32" spans="1:16" x14ac:dyDescent="0.25">
      <c r="A32" t="s">
        <v>128</v>
      </c>
      <c r="B32" s="1">
        <v>42433</v>
      </c>
      <c r="C32" s="2">
        <v>0.98263888888888884</v>
      </c>
      <c r="D32" t="s">
        <v>51</v>
      </c>
      <c r="E32" t="s">
        <v>122</v>
      </c>
      <c r="F32" t="s">
        <v>129</v>
      </c>
      <c r="G32" t="s">
        <v>31</v>
      </c>
      <c r="H32">
        <v>5271</v>
      </c>
      <c r="I32" t="s">
        <v>78</v>
      </c>
      <c r="J32" t="s">
        <v>79</v>
      </c>
      <c r="K32" t="s">
        <v>40</v>
      </c>
      <c r="L32" t="s">
        <v>80</v>
      </c>
      <c r="M32" t="s">
        <v>44</v>
      </c>
      <c r="O32" t="s">
        <v>100</v>
      </c>
      <c r="P32" t="s">
        <v>24</v>
      </c>
    </row>
    <row r="33" spans="1:16" x14ac:dyDescent="0.25">
      <c r="A33" t="s">
        <v>130</v>
      </c>
      <c r="B33" s="1">
        <v>42468</v>
      </c>
      <c r="C33" s="2">
        <v>0.86319444444444438</v>
      </c>
      <c r="D33" t="s">
        <v>51</v>
      </c>
      <c r="E33" t="s">
        <v>122</v>
      </c>
      <c r="F33" t="s">
        <v>131</v>
      </c>
      <c r="G33" t="s">
        <v>57</v>
      </c>
      <c r="H33">
        <v>3136</v>
      </c>
      <c r="I33" t="s">
        <v>43</v>
      </c>
      <c r="J33" t="s">
        <v>36</v>
      </c>
      <c r="K33" t="s">
        <v>22</v>
      </c>
      <c r="L33" t="s">
        <v>23</v>
      </c>
      <c r="M33" t="s">
        <v>44</v>
      </c>
      <c r="O33" t="s">
        <v>100</v>
      </c>
      <c r="P33" t="s">
        <v>44</v>
      </c>
    </row>
    <row r="34" spans="1:16" x14ac:dyDescent="0.25">
      <c r="A34" t="s">
        <v>132</v>
      </c>
      <c r="B34" s="1">
        <v>42496</v>
      </c>
      <c r="C34" s="2">
        <v>0.22291666666666665</v>
      </c>
      <c r="D34" t="s">
        <v>51</v>
      </c>
      <c r="E34" t="s">
        <v>122</v>
      </c>
      <c r="F34" t="s">
        <v>133</v>
      </c>
      <c r="G34" t="s">
        <v>31</v>
      </c>
      <c r="H34">
        <v>4696</v>
      </c>
      <c r="I34" t="s">
        <v>78</v>
      </c>
      <c r="J34" t="s">
        <v>134</v>
      </c>
      <c r="K34" t="s">
        <v>40</v>
      </c>
      <c r="L34" t="s">
        <v>135</v>
      </c>
      <c r="M34" t="s">
        <v>44</v>
      </c>
      <c r="O34" t="s">
        <v>100</v>
      </c>
      <c r="P34" t="s">
        <v>44</v>
      </c>
    </row>
    <row r="35" spans="1:16" x14ac:dyDescent="0.25">
      <c r="A35" t="s">
        <v>136</v>
      </c>
      <c r="B35" s="1">
        <v>42517</v>
      </c>
      <c r="C35" s="2">
        <v>0.90208333333333324</v>
      </c>
      <c r="D35" t="s">
        <v>51</v>
      </c>
      <c r="E35" t="s">
        <v>122</v>
      </c>
      <c r="F35" t="s">
        <v>137</v>
      </c>
      <c r="G35" t="s">
        <v>31</v>
      </c>
      <c r="H35">
        <v>3100</v>
      </c>
      <c r="I35" t="s">
        <v>78</v>
      </c>
      <c r="J35" t="s">
        <v>84</v>
      </c>
      <c r="K35" t="s">
        <v>40</v>
      </c>
      <c r="L35" t="s">
        <v>85</v>
      </c>
      <c r="M35" t="s">
        <v>44</v>
      </c>
      <c r="O35" t="s">
        <v>100</v>
      </c>
      <c r="P35" t="s">
        <v>44</v>
      </c>
    </row>
    <row r="36" spans="1:16" x14ac:dyDescent="0.25">
      <c r="A36" t="s">
        <v>138</v>
      </c>
      <c r="B36" s="1">
        <v>42536</v>
      </c>
      <c r="C36" s="2">
        <v>0.60347222222222219</v>
      </c>
      <c r="D36" t="s">
        <v>51</v>
      </c>
      <c r="E36" t="s">
        <v>122</v>
      </c>
      <c r="F36" t="s">
        <v>139</v>
      </c>
      <c r="G36" t="s">
        <v>31</v>
      </c>
      <c r="H36">
        <v>3600</v>
      </c>
      <c r="I36" t="s">
        <v>78</v>
      </c>
      <c r="J36" t="s">
        <v>107</v>
      </c>
      <c r="K36" t="s">
        <v>40</v>
      </c>
      <c r="L36" t="s">
        <v>108</v>
      </c>
      <c r="M36" t="s">
        <v>44</v>
      </c>
      <c r="O36" t="s">
        <v>100</v>
      </c>
      <c r="P36" t="s">
        <v>24</v>
      </c>
    </row>
    <row r="37" spans="1:16" x14ac:dyDescent="0.25">
      <c r="A37" t="s">
        <v>138</v>
      </c>
      <c r="B37" s="1">
        <v>42536</v>
      </c>
      <c r="C37" s="2">
        <v>0.60347222222222219</v>
      </c>
      <c r="D37" t="s">
        <v>51</v>
      </c>
      <c r="E37" t="s">
        <v>122</v>
      </c>
      <c r="F37" t="s">
        <v>140</v>
      </c>
      <c r="G37" t="s">
        <v>31</v>
      </c>
      <c r="H37">
        <v>3600</v>
      </c>
      <c r="I37" t="s">
        <v>78</v>
      </c>
      <c r="J37" t="s">
        <v>110</v>
      </c>
      <c r="K37" t="s">
        <v>40</v>
      </c>
      <c r="L37" t="s">
        <v>111</v>
      </c>
      <c r="M37" t="s">
        <v>44</v>
      </c>
      <c r="O37" t="s">
        <v>100</v>
      </c>
      <c r="P37" t="s">
        <v>24</v>
      </c>
    </row>
    <row r="38" spans="1:16" x14ac:dyDescent="0.25">
      <c r="A38" t="s">
        <v>141</v>
      </c>
      <c r="B38" s="1">
        <v>42569</v>
      </c>
      <c r="C38" s="2">
        <v>0.19791666666666666</v>
      </c>
      <c r="D38" t="s">
        <v>51</v>
      </c>
      <c r="E38" t="s">
        <v>122</v>
      </c>
      <c r="F38" t="s">
        <v>142</v>
      </c>
      <c r="G38" t="s">
        <v>57</v>
      </c>
      <c r="H38">
        <v>2257</v>
      </c>
      <c r="I38" t="s">
        <v>43</v>
      </c>
      <c r="J38" t="s">
        <v>36</v>
      </c>
      <c r="K38" t="s">
        <v>22</v>
      </c>
      <c r="L38" t="s">
        <v>23</v>
      </c>
      <c r="M38" t="s">
        <v>44</v>
      </c>
      <c r="O38" t="s">
        <v>124</v>
      </c>
      <c r="P38" t="s">
        <v>44</v>
      </c>
    </row>
    <row r="39" spans="1:16" x14ac:dyDescent="0.25">
      <c r="A39" t="s">
        <v>143</v>
      </c>
      <c r="B39" s="1">
        <v>42596</v>
      </c>
      <c r="C39" s="2">
        <v>0.22638888888888889</v>
      </c>
      <c r="D39" t="s">
        <v>51</v>
      </c>
      <c r="E39" t="s">
        <v>122</v>
      </c>
      <c r="F39" t="s">
        <v>144</v>
      </c>
      <c r="G39" t="s">
        <v>31</v>
      </c>
      <c r="H39">
        <v>4600</v>
      </c>
      <c r="I39" t="s">
        <v>78</v>
      </c>
      <c r="J39" t="s">
        <v>134</v>
      </c>
      <c r="K39" t="s">
        <v>40</v>
      </c>
      <c r="L39" t="s">
        <v>135</v>
      </c>
      <c r="M39" t="s">
        <v>44</v>
      </c>
      <c r="O39" t="s">
        <v>100</v>
      </c>
      <c r="P39" t="s">
        <v>44</v>
      </c>
    </row>
    <row r="40" spans="1:16" x14ac:dyDescent="0.25">
      <c r="A40" t="s">
        <v>145</v>
      </c>
      <c r="B40" s="1">
        <v>42614</v>
      </c>
      <c r="C40" s="2">
        <v>0.54652777777777783</v>
      </c>
      <c r="D40" t="s">
        <v>51</v>
      </c>
      <c r="E40" t="s">
        <v>122</v>
      </c>
      <c r="F40" t="s">
        <v>146</v>
      </c>
      <c r="G40" t="s">
        <v>31</v>
      </c>
      <c r="H40">
        <v>5500</v>
      </c>
      <c r="I40" t="s">
        <v>78</v>
      </c>
      <c r="J40" t="s">
        <v>147</v>
      </c>
      <c r="K40" t="s">
        <v>40</v>
      </c>
      <c r="L40" t="s">
        <v>148</v>
      </c>
      <c r="M40" t="s">
        <v>24</v>
      </c>
      <c r="N40" t="s">
        <v>149</v>
      </c>
    </row>
    <row r="41" spans="1:16" x14ac:dyDescent="0.25">
      <c r="A41" t="s">
        <v>150</v>
      </c>
      <c r="B41" s="1">
        <v>42749</v>
      </c>
      <c r="C41" s="2">
        <v>0.74583333333333324</v>
      </c>
      <c r="D41" t="s">
        <v>68</v>
      </c>
      <c r="E41" t="s">
        <v>122</v>
      </c>
      <c r="F41" t="s">
        <v>151</v>
      </c>
      <c r="G41" t="s">
        <v>31</v>
      </c>
      <c r="H41">
        <v>9600</v>
      </c>
      <c r="I41" t="s">
        <v>43</v>
      </c>
      <c r="J41" t="s">
        <v>152</v>
      </c>
      <c r="K41" t="s">
        <v>40</v>
      </c>
      <c r="L41" t="s">
        <v>23</v>
      </c>
      <c r="M41" t="s">
        <v>44</v>
      </c>
      <c r="O41" t="s">
        <v>100</v>
      </c>
      <c r="P41" t="s">
        <v>44</v>
      </c>
    </row>
    <row r="42" spans="1:16" x14ac:dyDescent="0.25">
      <c r="A42" t="s">
        <v>153</v>
      </c>
      <c r="B42" s="1">
        <v>42785</v>
      </c>
      <c r="C42" s="2">
        <v>0.61041666666666672</v>
      </c>
      <c r="D42" t="s">
        <v>154</v>
      </c>
      <c r="E42" t="s">
        <v>122</v>
      </c>
      <c r="F42" t="s">
        <v>155</v>
      </c>
      <c r="G42" t="s">
        <v>57</v>
      </c>
      <c r="H42">
        <v>2490</v>
      </c>
      <c r="I42" t="s">
        <v>43</v>
      </c>
      <c r="J42" t="s">
        <v>36</v>
      </c>
      <c r="K42" t="s">
        <v>22</v>
      </c>
      <c r="L42" t="s">
        <v>23</v>
      </c>
      <c r="M42" t="s">
        <v>44</v>
      </c>
      <c r="O42" t="s">
        <v>124</v>
      </c>
      <c r="P4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D75A-A468-4D47-BE2E-32B17BCEE3A2}">
  <dimension ref="A1:AG54"/>
  <sheetViews>
    <sheetView tabSelected="1" workbookViewId="0">
      <selection activeCell="B3" sqref="B3"/>
    </sheetView>
  </sheetViews>
  <sheetFormatPr defaultRowHeight="15" x14ac:dyDescent="0.25"/>
  <cols>
    <col min="1" max="1" width="19.5703125" bestFit="1" customWidth="1"/>
    <col min="2" max="2" width="19.85546875" bestFit="1" customWidth="1"/>
    <col min="3" max="3" width="25.7109375" bestFit="1" customWidth="1"/>
    <col min="4" max="4" width="7.7109375" bestFit="1" customWidth="1"/>
    <col min="5" max="6" width="8.85546875" bestFit="1" customWidth="1"/>
    <col min="7" max="7" width="9.5703125" bestFit="1" customWidth="1"/>
    <col min="8" max="8" width="9" bestFit="1" customWidth="1"/>
    <col min="9" max="9" width="33.85546875" bestFit="1" customWidth="1"/>
    <col min="10" max="10" width="8.28515625" bestFit="1" customWidth="1"/>
    <col min="11" max="12" width="28.7109375" bestFit="1" customWidth="1"/>
    <col min="13" max="13" width="9.28515625" bestFit="1" customWidth="1"/>
    <col min="14" max="14" width="11.7109375" bestFit="1" customWidth="1"/>
    <col min="15" max="15" width="16.7109375" bestFit="1" customWidth="1"/>
    <col min="16" max="16" width="7.5703125" bestFit="1" customWidth="1"/>
    <col min="17" max="18" width="8.85546875" bestFit="1" customWidth="1"/>
    <col min="19" max="19" width="30.28515625" bestFit="1" customWidth="1"/>
    <col min="20" max="20" width="31.28515625" bestFit="1" customWidth="1"/>
    <col min="21" max="21" width="14.42578125" bestFit="1" customWidth="1"/>
    <col min="22" max="22" width="18.140625" bestFit="1" customWidth="1"/>
    <col min="23" max="23" width="16.5703125" bestFit="1" customWidth="1"/>
    <col min="24" max="24" width="9.28515625" bestFit="1" customWidth="1"/>
    <col min="25" max="26" width="5.7109375" bestFit="1" customWidth="1"/>
    <col min="27" max="27" width="22.140625" bestFit="1" customWidth="1"/>
    <col min="28" max="28" width="23.140625" bestFit="1" customWidth="1"/>
    <col min="29" max="29" width="12.7109375" bestFit="1" customWidth="1"/>
    <col min="30" max="30" width="13.85546875" bestFit="1" customWidth="1"/>
    <col min="31" max="38" width="12.7109375" bestFit="1" customWidth="1"/>
    <col min="39" max="40" width="9.85546875" bestFit="1" customWidth="1"/>
    <col min="41" max="41" width="10.28515625" bestFit="1" customWidth="1"/>
    <col min="42" max="42" width="28.85546875" bestFit="1" customWidth="1"/>
    <col min="43" max="43" width="11.28515625" bestFit="1" customWidth="1"/>
  </cols>
  <sheetData>
    <row r="1" spans="1:33" x14ac:dyDescent="0.25">
      <c r="B1" s="10" t="s">
        <v>172</v>
      </c>
      <c r="C1" s="9"/>
      <c r="D1" s="9"/>
      <c r="E1" s="9"/>
      <c r="F1" s="9"/>
      <c r="G1" s="9"/>
      <c r="H1" s="9"/>
      <c r="AC1" s="5" t="s">
        <v>170</v>
      </c>
      <c r="AD1" s="5" t="s">
        <v>167</v>
      </c>
      <c r="AF1" s="5" t="s">
        <v>170</v>
      </c>
      <c r="AG1" s="5" t="s">
        <v>168</v>
      </c>
    </row>
    <row r="2" spans="1:33" x14ac:dyDescent="0.25">
      <c r="B2" s="9"/>
      <c r="C2" s="9"/>
      <c r="D2" s="9"/>
      <c r="E2" s="9"/>
      <c r="F2" s="9"/>
      <c r="G2" s="9"/>
      <c r="H2" s="9"/>
      <c r="AC2" s="4">
        <v>2006</v>
      </c>
      <c r="AD2" s="6">
        <v>1</v>
      </c>
      <c r="AF2" s="4">
        <v>2006</v>
      </c>
      <c r="AG2" s="7">
        <v>0</v>
      </c>
    </row>
    <row r="3" spans="1:33" x14ac:dyDescent="0.25">
      <c r="AC3" s="4">
        <v>2007</v>
      </c>
      <c r="AD3" s="6">
        <v>1</v>
      </c>
      <c r="AF3" s="4">
        <v>2007</v>
      </c>
      <c r="AG3" s="7">
        <v>0</v>
      </c>
    </row>
    <row r="4" spans="1:33" x14ac:dyDescent="0.25">
      <c r="AC4" s="4">
        <v>2008</v>
      </c>
      <c r="AD4" s="6">
        <v>4</v>
      </c>
      <c r="AF4" s="4">
        <v>2008</v>
      </c>
      <c r="AG4" s="7">
        <v>0.25</v>
      </c>
    </row>
    <row r="5" spans="1:33" x14ac:dyDescent="0.25">
      <c r="AC5" s="4">
        <v>2009</v>
      </c>
      <c r="AD5" s="6">
        <v>1</v>
      </c>
      <c r="AF5" s="4">
        <v>2009</v>
      </c>
      <c r="AG5" s="7">
        <v>1</v>
      </c>
    </row>
    <row r="6" spans="1:33" ht="18.75" x14ac:dyDescent="0.3">
      <c r="A6" s="8" t="s">
        <v>164</v>
      </c>
      <c r="AC6" s="4">
        <v>2010</v>
      </c>
      <c r="AD6" s="6">
        <v>2</v>
      </c>
      <c r="AF6" s="4">
        <v>2010</v>
      </c>
      <c r="AG6" s="7">
        <v>1</v>
      </c>
    </row>
    <row r="7" spans="1:33" x14ac:dyDescent="0.25">
      <c r="A7" s="3" t="s">
        <v>170</v>
      </c>
      <c r="B7" t="s">
        <v>167</v>
      </c>
      <c r="C7" t="s">
        <v>168</v>
      </c>
      <c r="AC7" s="4">
        <v>2012</v>
      </c>
      <c r="AD7" s="6">
        <v>3</v>
      </c>
      <c r="AF7" s="4">
        <v>2012</v>
      </c>
      <c r="AG7" s="7">
        <v>0.66666666666666663</v>
      </c>
    </row>
    <row r="8" spans="1:33" x14ac:dyDescent="0.25">
      <c r="A8" s="4">
        <v>2006</v>
      </c>
      <c r="B8" s="6">
        <v>1</v>
      </c>
      <c r="C8" s="7">
        <v>0</v>
      </c>
      <c r="AC8" s="4">
        <v>2013</v>
      </c>
      <c r="AD8" s="6">
        <v>3</v>
      </c>
      <c r="AF8" s="4">
        <v>2013</v>
      </c>
      <c r="AG8" s="7">
        <v>1</v>
      </c>
    </row>
    <row r="9" spans="1:33" x14ac:dyDescent="0.25">
      <c r="A9" s="4">
        <v>2007</v>
      </c>
      <c r="B9" s="6">
        <v>1</v>
      </c>
      <c r="C9" s="7">
        <v>0</v>
      </c>
      <c r="AC9" s="4">
        <v>2014</v>
      </c>
      <c r="AD9" s="6">
        <v>6</v>
      </c>
      <c r="AF9" s="4">
        <v>2014</v>
      </c>
      <c r="AG9" s="7">
        <v>1</v>
      </c>
    </row>
    <row r="10" spans="1:33" x14ac:dyDescent="0.25">
      <c r="A10" s="4">
        <v>2008</v>
      </c>
      <c r="B10" s="6">
        <v>4</v>
      </c>
      <c r="C10" s="7">
        <v>0.25</v>
      </c>
      <c r="AC10" s="4">
        <v>2015</v>
      </c>
      <c r="AD10" s="6">
        <v>8</v>
      </c>
      <c r="AF10" s="4">
        <v>2015</v>
      </c>
      <c r="AG10" s="7">
        <v>0.875</v>
      </c>
    </row>
    <row r="11" spans="1:33" x14ac:dyDescent="0.25">
      <c r="A11" s="4">
        <v>2009</v>
      </c>
      <c r="B11" s="6">
        <v>1</v>
      </c>
      <c r="C11" s="7">
        <v>1</v>
      </c>
      <c r="AC11" s="4">
        <v>2016</v>
      </c>
      <c r="AD11" s="6">
        <v>10</v>
      </c>
      <c r="AF11" s="4">
        <v>2016</v>
      </c>
      <c r="AG11" s="7">
        <v>0.9</v>
      </c>
    </row>
    <row r="12" spans="1:33" x14ac:dyDescent="0.25">
      <c r="A12" s="4">
        <v>2010</v>
      </c>
      <c r="B12" s="6">
        <v>2</v>
      </c>
      <c r="C12" s="7">
        <v>1</v>
      </c>
      <c r="AC12" s="4">
        <v>2017</v>
      </c>
      <c r="AD12" s="6">
        <v>2</v>
      </c>
      <c r="AF12" s="4">
        <v>2017</v>
      </c>
      <c r="AG12" s="7">
        <v>1</v>
      </c>
    </row>
    <row r="13" spans="1:33" x14ac:dyDescent="0.25">
      <c r="A13" s="4">
        <v>2012</v>
      </c>
      <c r="B13" s="6">
        <v>3</v>
      </c>
      <c r="C13" s="7">
        <v>0.66666666666666663</v>
      </c>
    </row>
    <row r="14" spans="1:33" x14ac:dyDescent="0.25">
      <c r="A14" s="4">
        <v>2013</v>
      </c>
      <c r="B14" s="6">
        <v>3</v>
      </c>
      <c r="C14" s="7">
        <v>1</v>
      </c>
    </row>
    <row r="15" spans="1:33" x14ac:dyDescent="0.25">
      <c r="A15" s="4">
        <v>2014</v>
      </c>
      <c r="B15" s="6">
        <v>6</v>
      </c>
      <c r="C15" s="7">
        <v>1</v>
      </c>
      <c r="AC15" s="5" t="s">
        <v>11</v>
      </c>
      <c r="AD15" s="5" t="s">
        <v>169</v>
      </c>
    </row>
    <row r="16" spans="1:33" x14ac:dyDescent="0.25">
      <c r="A16" s="4">
        <v>2015</v>
      </c>
      <c r="B16" s="6">
        <v>8</v>
      </c>
      <c r="C16" s="7">
        <v>0.875</v>
      </c>
      <c r="AC16" s="4" t="s">
        <v>23</v>
      </c>
      <c r="AD16" s="6">
        <v>23</v>
      </c>
    </row>
    <row r="17" spans="1:30" x14ac:dyDescent="0.25">
      <c r="A17" s="4">
        <v>2016</v>
      </c>
      <c r="B17" s="6">
        <v>10</v>
      </c>
      <c r="C17" s="7">
        <v>0.9</v>
      </c>
      <c r="AC17" s="4" t="s">
        <v>108</v>
      </c>
      <c r="AD17" s="6">
        <v>2</v>
      </c>
    </row>
    <row r="18" spans="1:30" x14ac:dyDescent="0.25">
      <c r="A18" s="4">
        <v>2017</v>
      </c>
      <c r="B18" s="6">
        <v>2</v>
      </c>
      <c r="C18" s="7">
        <v>1</v>
      </c>
      <c r="AC18" s="4" t="s">
        <v>93</v>
      </c>
      <c r="AD18" s="6">
        <v>2</v>
      </c>
    </row>
    <row r="19" spans="1:30" x14ac:dyDescent="0.25">
      <c r="A19" s="4" t="s">
        <v>163</v>
      </c>
      <c r="B19" s="6">
        <v>41</v>
      </c>
      <c r="C19" s="7">
        <v>0.80487804878048785</v>
      </c>
      <c r="AC19" s="4" t="s">
        <v>156</v>
      </c>
      <c r="AD19" s="6">
        <v>2</v>
      </c>
    </row>
    <row r="20" spans="1:30" x14ac:dyDescent="0.25">
      <c r="AC20" s="4" t="s">
        <v>111</v>
      </c>
      <c r="AD20" s="6">
        <v>2</v>
      </c>
    </row>
    <row r="21" spans="1:30" x14ac:dyDescent="0.25">
      <c r="AC21" s="4" t="s">
        <v>135</v>
      </c>
      <c r="AD21" s="6">
        <v>2</v>
      </c>
    </row>
    <row r="22" spans="1:30" x14ac:dyDescent="0.25">
      <c r="AC22" s="4" t="s">
        <v>80</v>
      </c>
      <c r="AD22" s="6">
        <v>2</v>
      </c>
    </row>
    <row r="23" spans="1:30" ht="18.75" x14ac:dyDescent="0.3">
      <c r="A23" s="8" t="s">
        <v>165</v>
      </c>
      <c r="AC23" s="4" t="s">
        <v>85</v>
      </c>
      <c r="AD23" s="6">
        <v>2</v>
      </c>
    </row>
    <row r="24" spans="1:30" x14ac:dyDescent="0.25">
      <c r="A24" s="3" t="s">
        <v>11</v>
      </c>
      <c r="B24" t="s">
        <v>169</v>
      </c>
      <c r="AC24" s="4" t="s">
        <v>74</v>
      </c>
      <c r="AD24" s="6">
        <v>1</v>
      </c>
    </row>
    <row r="25" spans="1:30" x14ac:dyDescent="0.25">
      <c r="A25" s="4" t="s">
        <v>108</v>
      </c>
      <c r="B25" s="6">
        <v>2</v>
      </c>
      <c r="AC25" s="4" t="s">
        <v>148</v>
      </c>
      <c r="AD25" s="6">
        <v>1</v>
      </c>
    </row>
    <row r="26" spans="1:30" x14ac:dyDescent="0.25">
      <c r="A26" s="4" t="s">
        <v>74</v>
      </c>
      <c r="B26" s="6">
        <v>1</v>
      </c>
      <c r="AC26" s="4" t="s">
        <v>49</v>
      </c>
      <c r="AD26" s="6">
        <v>1</v>
      </c>
    </row>
    <row r="27" spans="1:30" x14ac:dyDescent="0.25">
      <c r="A27" s="4" t="s">
        <v>93</v>
      </c>
      <c r="B27" s="6">
        <v>2</v>
      </c>
      <c r="AC27" s="4" t="s">
        <v>117</v>
      </c>
      <c r="AD27" s="6">
        <v>1</v>
      </c>
    </row>
    <row r="28" spans="1:30" x14ac:dyDescent="0.25">
      <c r="A28" s="4" t="s">
        <v>156</v>
      </c>
      <c r="B28" s="6">
        <v>2</v>
      </c>
    </row>
    <row r="29" spans="1:30" x14ac:dyDescent="0.25">
      <c r="A29" s="4" t="s">
        <v>111</v>
      </c>
      <c r="B29" s="6">
        <v>2</v>
      </c>
    </row>
    <row r="30" spans="1:30" x14ac:dyDescent="0.25">
      <c r="A30" s="4" t="s">
        <v>148</v>
      </c>
      <c r="B30" s="6">
        <v>1</v>
      </c>
    </row>
    <row r="31" spans="1:30" x14ac:dyDescent="0.25">
      <c r="A31" s="4" t="s">
        <v>135</v>
      </c>
      <c r="B31" s="6">
        <v>2</v>
      </c>
    </row>
    <row r="32" spans="1:30" x14ac:dyDescent="0.25">
      <c r="A32" s="4" t="s">
        <v>80</v>
      </c>
      <c r="B32" s="6">
        <v>2</v>
      </c>
    </row>
    <row r="33" spans="1:2" x14ac:dyDescent="0.25">
      <c r="A33" s="4" t="s">
        <v>49</v>
      </c>
      <c r="B33" s="6">
        <v>1</v>
      </c>
    </row>
    <row r="34" spans="1:2" x14ac:dyDescent="0.25">
      <c r="A34" s="4" t="s">
        <v>85</v>
      </c>
      <c r="B34" s="6">
        <v>2</v>
      </c>
    </row>
    <row r="35" spans="1:2" x14ac:dyDescent="0.25">
      <c r="A35" s="4" t="s">
        <v>117</v>
      </c>
      <c r="B35" s="6">
        <v>1</v>
      </c>
    </row>
    <row r="36" spans="1:2" x14ac:dyDescent="0.25">
      <c r="A36" s="4" t="s">
        <v>23</v>
      </c>
      <c r="B36" s="6">
        <v>23</v>
      </c>
    </row>
    <row r="37" spans="1:2" x14ac:dyDescent="0.25">
      <c r="A37" s="4" t="s">
        <v>163</v>
      </c>
      <c r="B37" s="6">
        <v>41</v>
      </c>
    </row>
    <row r="41" spans="1:2" ht="18.75" x14ac:dyDescent="0.3">
      <c r="A41" s="8" t="s">
        <v>166</v>
      </c>
    </row>
    <row r="42" spans="1:2" x14ac:dyDescent="0.25">
      <c r="A42" s="3" t="s">
        <v>170</v>
      </c>
      <c r="B42" t="s">
        <v>171</v>
      </c>
    </row>
    <row r="43" spans="1:2" x14ac:dyDescent="0.25">
      <c r="A43" s="4">
        <v>2006</v>
      </c>
      <c r="B43" s="7">
        <v>0</v>
      </c>
    </row>
    <row r="44" spans="1:2" x14ac:dyDescent="0.25">
      <c r="A44" s="4">
        <v>2007</v>
      </c>
      <c r="B44" s="7">
        <v>0</v>
      </c>
    </row>
    <row r="45" spans="1:2" x14ac:dyDescent="0.25">
      <c r="A45" s="4">
        <v>2008</v>
      </c>
      <c r="B45" s="7">
        <v>0</v>
      </c>
    </row>
    <row r="46" spans="1:2" x14ac:dyDescent="0.25">
      <c r="A46" s="4">
        <v>2009</v>
      </c>
      <c r="B46" s="7">
        <v>0</v>
      </c>
    </row>
    <row r="47" spans="1:2" x14ac:dyDescent="0.25">
      <c r="A47" s="4">
        <v>2010</v>
      </c>
      <c r="B47" s="7">
        <v>0</v>
      </c>
    </row>
    <row r="48" spans="1:2" x14ac:dyDescent="0.25">
      <c r="A48" s="4">
        <v>2012</v>
      </c>
      <c r="B48" s="7">
        <v>0</v>
      </c>
    </row>
    <row r="49" spans="1:2" x14ac:dyDescent="0.25">
      <c r="A49" s="4">
        <v>2013</v>
      </c>
      <c r="B49" s="7">
        <v>0</v>
      </c>
    </row>
    <row r="50" spans="1:2" x14ac:dyDescent="0.25">
      <c r="A50" s="4">
        <v>2014</v>
      </c>
      <c r="B50" s="7">
        <v>0.5</v>
      </c>
    </row>
    <row r="51" spans="1:2" x14ac:dyDescent="0.25">
      <c r="A51" s="4">
        <v>2015</v>
      </c>
      <c r="B51" s="7">
        <v>0.25</v>
      </c>
    </row>
    <row r="52" spans="1:2" x14ac:dyDescent="0.25">
      <c r="A52" s="4">
        <v>2016</v>
      </c>
      <c r="B52" s="7">
        <v>0.5</v>
      </c>
    </row>
    <row r="53" spans="1:2" x14ac:dyDescent="0.25">
      <c r="A53" s="4">
        <v>2017</v>
      </c>
      <c r="B53" s="7">
        <v>1</v>
      </c>
    </row>
    <row r="54" spans="1:2" x14ac:dyDescent="0.25">
      <c r="A54" s="4" t="s">
        <v>163</v>
      </c>
      <c r="B54" s="7">
        <v>0.29268292682926828</v>
      </c>
    </row>
  </sheetData>
  <sortState ref="AC16:AD27">
    <sortCondition descending="1" ref="AD15"/>
  </sortState>
  <mergeCells count="1">
    <mergeCell ref="B1:H2"/>
  </mergeCells>
  <pageMargins left="0.7" right="0.7" top="0.75" bottom="0.75" header="0.3" footer="0.3"/>
  <pageSetup orientation="portrait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2"/>
  <sheetViews>
    <sheetView topLeftCell="K1" workbookViewId="0">
      <pane ySplit="1" topLeftCell="A25" activePane="bottomLeft" state="frozen"/>
      <selection activeCell="D1" sqref="D1"/>
      <selection pane="bottomLeft" sqref="A1:S42"/>
    </sheetView>
  </sheetViews>
  <sheetFormatPr defaultRowHeight="15" x14ac:dyDescent="0.25"/>
  <cols>
    <col min="1" max="1" width="13.85546875" bestFit="1" customWidth="1"/>
    <col min="2" max="2" width="11.7109375" bestFit="1" customWidth="1"/>
    <col min="3" max="3" width="12" bestFit="1" customWidth="1"/>
    <col min="4" max="4" width="27.85546875" bestFit="1" customWidth="1"/>
    <col min="5" max="5" width="23.7109375" bestFit="1" customWidth="1"/>
    <col min="6" max="6" width="33.5703125" bestFit="1" customWidth="1"/>
    <col min="7" max="7" width="32.42578125" bestFit="1" customWidth="1"/>
    <col min="8" max="8" width="16.85546875" bestFit="1" customWidth="1"/>
    <col min="9" max="9" width="26.7109375" bestFit="1" customWidth="1"/>
    <col min="10" max="10" width="24.42578125" bestFit="1" customWidth="1"/>
    <col min="11" max="11" width="14.42578125" bestFit="1" customWidth="1"/>
    <col min="12" max="12" width="17.28515625" bestFit="1" customWidth="1"/>
    <col min="13" max="13" width="16.5703125" bestFit="1" customWidth="1"/>
    <col min="14" max="14" width="30.42578125" bestFit="1" customWidth="1"/>
    <col min="15" max="16" width="21.42578125" bestFit="1" customWidth="1"/>
    <col min="18" max="19" width="15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160</v>
      </c>
      <c r="R1" t="s">
        <v>161</v>
      </c>
      <c r="S1" t="s">
        <v>162</v>
      </c>
    </row>
    <row r="2" spans="1:19" x14ac:dyDescent="0.25">
      <c r="A2" t="s">
        <v>16</v>
      </c>
      <c r="B2" s="1">
        <v>38800</v>
      </c>
      <c r="C2" s="2">
        <v>0.9375</v>
      </c>
      <c r="D2" t="s">
        <v>17</v>
      </c>
      <c r="E2" t="s">
        <v>18</v>
      </c>
      <c r="F2" t="s">
        <v>19</v>
      </c>
      <c r="G2" t="s">
        <v>20</v>
      </c>
      <c r="H2">
        <v>19.5</v>
      </c>
      <c r="I2" t="s">
        <v>156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159</v>
      </c>
      <c r="P2" t="s">
        <v>159</v>
      </c>
      <c r="Q2">
        <f>YEAR(B2)</f>
        <v>2006</v>
      </c>
      <c r="R2">
        <f>IF(M2="Success", 1,0)</f>
        <v>0</v>
      </c>
      <c r="S2">
        <f>IF(P2="Success", 1,0)</f>
        <v>0</v>
      </c>
    </row>
    <row r="3" spans="1:19" x14ac:dyDescent="0.25">
      <c r="A3" t="s">
        <v>26</v>
      </c>
      <c r="B3" s="1">
        <v>39162</v>
      </c>
      <c r="C3" s="2">
        <v>4.8611111111111112E-2</v>
      </c>
      <c r="D3" t="s">
        <v>17</v>
      </c>
      <c r="E3" t="s">
        <v>18</v>
      </c>
      <c r="F3" t="s">
        <v>27</v>
      </c>
      <c r="G3" t="s">
        <v>156</v>
      </c>
      <c r="H3" t="s">
        <v>157</v>
      </c>
      <c r="I3" t="s">
        <v>156</v>
      </c>
      <c r="J3" t="s">
        <v>21</v>
      </c>
      <c r="K3" t="s">
        <v>22</v>
      </c>
      <c r="L3" t="s">
        <v>23</v>
      </c>
      <c r="M3" t="s">
        <v>24</v>
      </c>
      <c r="N3" t="s">
        <v>28</v>
      </c>
      <c r="O3" t="s">
        <v>159</v>
      </c>
      <c r="P3" t="s">
        <v>159</v>
      </c>
      <c r="Q3">
        <f t="shared" ref="Q3:Q42" si="0">YEAR(B3)</f>
        <v>2007</v>
      </c>
      <c r="R3">
        <f t="shared" ref="R3:R42" si="1">IF(M3="Success", 1,0)</f>
        <v>0</v>
      </c>
      <c r="S3">
        <f t="shared" ref="S3:S42" si="2">IF(P3="Success", 1,0)</f>
        <v>0</v>
      </c>
    </row>
    <row r="4" spans="1:19" x14ac:dyDescent="0.25">
      <c r="A4" t="s">
        <v>29</v>
      </c>
      <c r="B4" s="1">
        <v>39663</v>
      </c>
      <c r="C4" s="2">
        <v>0.14861111111111111</v>
      </c>
      <c r="D4" t="s">
        <v>17</v>
      </c>
      <c r="E4" t="s">
        <v>18</v>
      </c>
      <c r="F4" t="s">
        <v>30</v>
      </c>
      <c r="G4" t="s">
        <v>31</v>
      </c>
      <c r="H4" t="s">
        <v>157</v>
      </c>
      <c r="I4" t="s">
        <v>156</v>
      </c>
      <c r="J4" t="s">
        <v>32</v>
      </c>
      <c r="K4" t="s">
        <v>22</v>
      </c>
      <c r="L4" t="s">
        <v>23</v>
      </c>
      <c r="M4" t="s">
        <v>24</v>
      </c>
      <c r="N4" t="s">
        <v>33</v>
      </c>
      <c r="O4" t="s">
        <v>159</v>
      </c>
      <c r="P4" t="s">
        <v>159</v>
      </c>
      <c r="Q4">
        <f t="shared" si="0"/>
        <v>2008</v>
      </c>
      <c r="R4">
        <f t="shared" si="1"/>
        <v>0</v>
      </c>
      <c r="S4">
        <f t="shared" si="2"/>
        <v>0</v>
      </c>
    </row>
    <row r="5" spans="1:19" x14ac:dyDescent="0.25">
      <c r="A5" t="s">
        <v>29</v>
      </c>
      <c r="B5" s="1">
        <v>39663</v>
      </c>
      <c r="C5" s="2">
        <v>0.14861111111111111</v>
      </c>
      <c r="D5" t="s">
        <v>17</v>
      </c>
      <c r="E5" t="s">
        <v>18</v>
      </c>
      <c r="F5" t="s">
        <v>34</v>
      </c>
      <c r="G5" t="s">
        <v>35</v>
      </c>
      <c r="H5">
        <v>8</v>
      </c>
      <c r="I5" t="s">
        <v>156</v>
      </c>
      <c r="J5" t="s">
        <v>36</v>
      </c>
      <c r="K5" t="s">
        <v>22</v>
      </c>
      <c r="L5" t="s">
        <v>23</v>
      </c>
      <c r="M5" t="s">
        <v>24</v>
      </c>
      <c r="N5" t="s">
        <v>33</v>
      </c>
      <c r="O5" t="s">
        <v>159</v>
      </c>
      <c r="P5" t="s">
        <v>159</v>
      </c>
      <c r="Q5">
        <f t="shared" si="0"/>
        <v>2008</v>
      </c>
      <c r="R5">
        <f t="shared" si="1"/>
        <v>0</v>
      </c>
      <c r="S5">
        <f t="shared" si="2"/>
        <v>0</v>
      </c>
    </row>
    <row r="6" spans="1:19" x14ac:dyDescent="0.25">
      <c r="A6" t="s">
        <v>29</v>
      </c>
      <c r="B6" s="1">
        <v>39663</v>
      </c>
      <c r="C6" s="2">
        <v>0.14861111111111111</v>
      </c>
      <c r="D6" t="s">
        <v>17</v>
      </c>
      <c r="E6" t="s">
        <v>18</v>
      </c>
      <c r="F6" t="s">
        <v>37</v>
      </c>
      <c r="G6" t="s">
        <v>38</v>
      </c>
      <c r="H6" t="s">
        <v>157</v>
      </c>
      <c r="I6" t="s">
        <v>156</v>
      </c>
      <c r="J6" t="s">
        <v>39</v>
      </c>
      <c r="K6" t="s">
        <v>40</v>
      </c>
      <c r="L6" t="s">
        <v>23</v>
      </c>
      <c r="M6" t="s">
        <v>24</v>
      </c>
      <c r="N6" t="s">
        <v>33</v>
      </c>
      <c r="O6" t="s">
        <v>159</v>
      </c>
      <c r="P6" t="s">
        <v>159</v>
      </c>
      <c r="Q6">
        <f t="shared" si="0"/>
        <v>2008</v>
      </c>
      <c r="R6">
        <f t="shared" si="1"/>
        <v>0</v>
      </c>
      <c r="S6">
        <f t="shared" si="2"/>
        <v>0</v>
      </c>
    </row>
    <row r="7" spans="1:19" x14ac:dyDescent="0.25">
      <c r="A7" t="s">
        <v>41</v>
      </c>
      <c r="B7" s="1">
        <v>39719</v>
      </c>
      <c r="C7" s="2">
        <v>0.96875</v>
      </c>
      <c r="D7" t="s">
        <v>17</v>
      </c>
      <c r="E7" t="s">
        <v>18</v>
      </c>
      <c r="F7" t="s">
        <v>42</v>
      </c>
      <c r="G7" t="s">
        <v>156</v>
      </c>
      <c r="H7">
        <v>165</v>
      </c>
      <c r="I7" t="s">
        <v>43</v>
      </c>
      <c r="J7" t="s">
        <v>156</v>
      </c>
      <c r="K7" t="s">
        <v>156</v>
      </c>
      <c r="L7" t="s">
        <v>156</v>
      </c>
      <c r="M7" t="s">
        <v>44</v>
      </c>
      <c r="N7" t="s">
        <v>158</v>
      </c>
      <c r="O7" t="s">
        <v>159</v>
      </c>
      <c r="P7" t="s">
        <v>159</v>
      </c>
      <c r="Q7">
        <f t="shared" si="0"/>
        <v>2008</v>
      </c>
      <c r="R7">
        <f t="shared" si="1"/>
        <v>1</v>
      </c>
      <c r="S7">
        <f t="shared" si="2"/>
        <v>0</v>
      </c>
    </row>
    <row r="8" spans="1:19" x14ac:dyDescent="0.25">
      <c r="A8" t="s">
        <v>45</v>
      </c>
      <c r="B8" s="1">
        <v>40008</v>
      </c>
      <c r="C8" s="2">
        <v>0.14930555555555555</v>
      </c>
      <c r="D8" t="s">
        <v>17</v>
      </c>
      <c r="E8" t="s">
        <v>18</v>
      </c>
      <c r="F8" t="s">
        <v>46</v>
      </c>
      <c r="G8" t="s">
        <v>47</v>
      </c>
      <c r="H8">
        <v>180</v>
      </c>
      <c r="I8" t="s">
        <v>43</v>
      </c>
      <c r="J8" t="s">
        <v>48</v>
      </c>
      <c r="K8" t="s">
        <v>22</v>
      </c>
      <c r="L8" t="s">
        <v>49</v>
      </c>
      <c r="M8" t="s">
        <v>44</v>
      </c>
      <c r="N8" t="s">
        <v>158</v>
      </c>
      <c r="O8" t="s">
        <v>159</v>
      </c>
      <c r="P8" t="s">
        <v>159</v>
      </c>
      <c r="Q8">
        <f t="shared" si="0"/>
        <v>2009</v>
      </c>
      <c r="R8">
        <f t="shared" si="1"/>
        <v>1</v>
      </c>
      <c r="S8">
        <f t="shared" si="2"/>
        <v>0</v>
      </c>
    </row>
    <row r="9" spans="1:19" x14ac:dyDescent="0.25">
      <c r="A9" t="s">
        <v>50</v>
      </c>
      <c r="B9" s="1">
        <v>40333</v>
      </c>
      <c r="C9" s="2">
        <v>0.78125</v>
      </c>
      <c r="D9" t="s">
        <v>51</v>
      </c>
      <c r="E9" t="s">
        <v>52</v>
      </c>
      <c r="F9" t="s">
        <v>53</v>
      </c>
      <c r="G9" t="s">
        <v>156</v>
      </c>
      <c r="H9" t="s">
        <v>157</v>
      </c>
      <c r="I9" t="s">
        <v>43</v>
      </c>
      <c r="J9" t="s">
        <v>156</v>
      </c>
      <c r="K9" t="s">
        <v>156</v>
      </c>
      <c r="L9" t="s">
        <v>156</v>
      </c>
      <c r="M9" t="s">
        <v>44</v>
      </c>
      <c r="N9" t="s">
        <v>158</v>
      </c>
      <c r="O9" t="s">
        <v>54</v>
      </c>
      <c r="P9" t="s">
        <v>24</v>
      </c>
      <c r="Q9">
        <f t="shared" si="0"/>
        <v>2010</v>
      </c>
      <c r="R9">
        <f t="shared" si="1"/>
        <v>1</v>
      </c>
      <c r="S9">
        <f t="shared" si="2"/>
        <v>0</v>
      </c>
    </row>
    <row r="10" spans="1:19" x14ac:dyDescent="0.25">
      <c r="A10" t="s">
        <v>55</v>
      </c>
      <c r="B10" s="1">
        <v>40520</v>
      </c>
      <c r="C10" s="2">
        <v>0.65486111111111112</v>
      </c>
      <c r="D10" t="s">
        <v>51</v>
      </c>
      <c r="E10" t="s">
        <v>52</v>
      </c>
      <c r="F10" t="s">
        <v>56</v>
      </c>
      <c r="G10" t="s">
        <v>57</v>
      </c>
      <c r="H10" t="s">
        <v>157</v>
      </c>
      <c r="I10" t="s">
        <v>43</v>
      </c>
      <c r="J10" t="s">
        <v>36</v>
      </c>
      <c r="K10" t="s">
        <v>22</v>
      </c>
      <c r="L10" t="s">
        <v>23</v>
      </c>
      <c r="M10" t="s">
        <v>44</v>
      </c>
      <c r="N10" t="s">
        <v>158</v>
      </c>
      <c r="O10" t="s">
        <v>54</v>
      </c>
      <c r="P10" t="s">
        <v>24</v>
      </c>
      <c r="Q10">
        <f t="shared" si="0"/>
        <v>2010</v>
      </c>
      <c r="R10">
        <f t="shared" si="1"/>
        <v>1</v>
      </c>
      <c r="S10">
        <f t="shared" si="2"/>
        <v>0</v>
      </c>
    </row>
    <row r="11" spans="1:19" x14ac:dyDescent="0.25">
      <c r="A11" t="s">
        <v>58</v>
      </c>
      <c r="B11" s="1">
        <v>41051</v>
      </c>
      <c r="C11" s="2">
        <v>0.32222222222222224</v>
      </c>
      <c r="D11" t="s">
        <v>51</v>
      </c>
      <c r="E11" t="s">
        <v>52</v>
      </c>
      <c r="F11" t="s">
        <v>59</v>
      </c>
      <c r="G11" t="s">
        <v>57</v>
      </c>
      <c r="H11" t="s">
        <v>157</v>
      </c>
      <c r="I11" t="s">
        <v>43</v>
      </c>
      <c r="J11" t="s">
        <v>36</v>
      </c>
      <c r="K11" t="s">
        <v>22</v>
      </c>
      <c r="L11" t="s">
        <v>23</v>
      </c>
      <c r="M11" t="s">
        <v>44</v>
      </c>
      <c r="N11" t="s">
        <v>158</v>
      </c>
      <c r="O11" t="s">
        <v>159</v>
      </c>
      <c r="P11" t="s">
        <v>159</v>
      </c>
      <c r="Q11">
        <f t="shared" si="0"/>
        <v>2012</v>
      </c>
      <c r="R11">
        <f t="shared" si="1"/>
        <v>1</v>
      </c>
      <c r="S11">
        <f t="shared" si="2"/>
        <v>0</v>
      </c>
    </row>
    <row r="12" spans="1:19" x14ac:dyDescent="0.25">
      <c r="A12" t="s">
        <v>60</v>
      </c>
      <c r="B12" s="1">
        <v>41190</v>
      </c>
      <c r="C12" s="2">
        <v>2.4305555555555556E-2</v>
      </c>
      <c r="D12" t="s">
        <v>51</v>
      </c>
      <c r="E12" t="s">
        <v>52</v>
      </c>
      <c r="F12" t="s">
        <v>61</v>
      </c>
      <c r="G12" t="s">
        <v>57</v>
      </c>
      <c r="H12">
        <v>500</v>
      </c>
      <c r="I12" t="s">
        <v>43</v>
      </c>
      <c r="J12" t="s">
        <v>36</v>
      </c>
      <c r="K12" t="s">
        <v>22</v>
      </c>
      <c r="L12" t="s">
        <v>23</v>
      </c>
      <c r="M12" t="s">
        <v>44</v>
      </c>
      <c r="N12" t="s">
        <v>158</v>
      </c>
      <c r="O12" t="s">
        <v>159</v>
      </c>
      <c r="P12" t="s">
        <v>159</v>
      </c>
      <c r="Q12">
        <f t="shared" si="0"/>
        <v>2012</v>
      </c>
      <c r="R12">
        <f t="shared" si="1"/>
        <v>1</v>
      </c>
      <c r="S12">
        <f t="shared" si="2"/>
        <v>0</v>
      </c>
    </row>
    <row r="13" spans="1:19" x14ac:dyDescent="0.25">
      <c r="A13" t="s">
        <v>60</v>
      </c>
      <c r="B13" s="1">
        <v>41190</v>
      </c>
      <c r="C13" s="2">
        <v>2.4305555555555556E-2</v>
      </c>
      <c r="D13" t="s">
        <v>51</v>
      </c>
      <c r="E13" t="s">
        <v>52</v>
      </c>
      <c r="F13" t="s">
        <v>62</v>
      </c>
      <c r="G13" t="s">
        <v>31</v>
      </c>
      <c r="H13">
        <v>150</v>
      </c>
      <c r="I13" t="s">
        <v>43</v>
      </c>
      <c r="J13" t="s">
        <v>63</v>
      </c>
      <c r="K13" t="s">
        <v>40</v>
      </c>
      <c r="L13" t="s">
        <v>23</v>
      </c>
      <c r="M13" t="s">
        <v>24</v>
      </c>
      <c r="N13" t="s">
        <v>64</v>
      </c>
      <c r="O13" t="s">
        <v>159</v>
      </c>
      <c r="P13" t="s">
        <v>159</v>
      </c>
      <c r="Q13">
        <f t="shared" si="0"/>
        <v>2012</v>
      </c>
      <c r="R13">
        <f t="shared" si="1"/>
        <v>0</v>
      </c>
      <c r="S13">
        <f t="shared" si="2"/>
        <v>0</v>
      </c>
    </row>
    <row r="14" spans="1:19" x14ac:dyDescent="0.25">
      <c r="A14" t="s">
        <v>65</v>
      </c>
      <c r="B14" s="1">
        <v>41334</v>
      </c>
      <c r="C14" s="2">
        <v>0.63194444444444442</v>
      </c>
      <c r="D14" t="s">
        <v>51</v>
      </c>
      <c r="E14" t="s">
        <v>52</v>
      </c>
      <c r="F14" t="s">
        <v>66</v>
      </c>
      <c r="G14" t="s">
        <v>57</v>
      </c>
      <c r="H14">
        <v>677</v>
      </c>
      <c r="I14" t="s">
        <v>43</v>
      </c>
      <c r="J14" t="s">
        <v>36</v>
      </c>
      <c r="K14" t="s">
        <v>22</v>
      </c>
      <c r="L14" t="s">
        <v>23</v>
      </c>
      <c r="M14" t="s">
        <v>44</v>
      </c>
      <c r="N14" t="s">
        <v>158</v>
      </c>
      <c r="O14" t="s">
        <v>159</v>
      </c>
      <c r="P14" t="s">
        <v>159</v>
      </c>
      <c r="Q14">
        <f t="shared" si="0"/>
        <v>2013</v>
      </c>
      <c r="R14">
        <f t="shared" si="1"/>
        <v>1</v>
      </c>
      <c r="S14">
        <f t="shared" si="2"/>
        <v>0</v>
      </c>
    </row>
    <row r="15" spans="1:19" x14ac:dyDescent="0.25">
      <c r="A15" t="s">
        <v>67</v>
      </c>
      <c r="B15" s="1">
        <v>41546</v>
      </c>
      <c r="C15" s="2">
        <v>0.66666666666666663</v>
      </c>
      <c r="D15" t="s">
        <v>68</v>
      </c>
      <c r="E15" t="s">
        <v>69</v>
      </c>
      <c r="F15" t="s">
        <v>70</v>
      </c>
      <c r="G15" t="s">
        <v>71</v>
      </c>
      <c r="H15">
        <v>500</v>
      </c>
      <c r="I15" t="s">
        <v>72</v>
      </c>
      <c r="J15" t="s">
        <v>73</v>
      </c>
      <c r="K15" t="s">
        <v>40</v>
      </c>
      <c r="L15" t="s">
        <v>74</v>
      </c>
      <c r="M15" t="s">
        <v>44</v>
      </c>
      <c r="N15" t="s">
        <v>158</v>
      </c>
      <c r="O15" t="s">
        <v>75</v>
      </c>
      <c r="P15" t="s">
        <v>24</v>
      </c>
      <c r="Q15">
        <f t="shared" si="0"/>
        <v>2013</v>
      </c>
      <c r="R15">
        <f t="shared" si="1"/>
        <v>1</v>
      </c>
      <c r="S15">
        <f t="shared" si="2"/>
        <v>0</v>
      </c>
    </row>
    <row r="16" spans="1:19" x14ac:dyDescent="0.25">
      <c r="A16" t="s">
        <v>76</v>
      </c>
      <c r="B16" s="1">
        <v>41611</v>
      </c>
      <c r="C16" s="2">
        <v>0.94513888888888886</v>
      </c>
      <c r="D16" t="s">
        <v>51</v>
      </c>
      <c r="E16" t="s">
        <v>69</v>
      </c>
      <c r="F16" t="s">
        <v>77</v>
      </c>
      <c r="G16" t="s">
        <v>31</v>
      </c>
      <c r="H16">
        <v>3170</v>
      </c>
      <c r="I16" t="s">
        <v>78</v>
      </c>
      <c r="J16" t="s">
        <v>79</v>
      </c>
      <c r="K16" t="s">
        <v>40</v>
      </c>
      <c r="L16" t="s">
        <v>80</v>
      </c>
      <c r="M16" t="s">
        <v>44</v>
      </c>
      <c r="N16" t="s">
        <v>158</v>
      </c>
      <c r="O16" t="s">
        <v>159</v>
      </c>
      <c r="P16" t="s">
        <v>159</v>
      </c>
      <c r="Q16">
        <f t="shared" si="0"/>
        <v>2013</v>
      </c>
      <c r="R16">
        <f t="shared" si="1"/>
        <v>1</v>
      </c>
      <c r="S16">
        <f t="shared" si="2"/>
        <v>0</v>
      </c>
    </row>
    <row r="17" spans="1:19" x14ac:dyDescent="0.25">
      <c r="A17" t="s">
        <v>82</v>
      </c>
      <c r="B17" s="1">
        <v>41979</v>
      </c>
      <c r="C17" s="2">
        <v>0.92083333333333339</v>
      </c>
      <c r="D17" t="s">
        <v>51</v>
      </c>
      <c r="E17" t="s">
        <v>69</v>
      </c>
      <c r="F17" t="s">
        <v>83</v>
      </c>
      <c r="G17" t="s">
        <v>31</v>
      </c>
      <c r="H17">
        <v>3325</v>
      </c>
      <c r="I17" t="s">
        <v>78</v>
      </c>
      <c r="J17" t="s">
        <v>84</v>
      </c>
      <c r="K17" t="s">
        <v>40</v>
      </c>
      <c r="L17" t="s">
        <v>85</v>
      </c>
      <c r="M17" t="s">
        <v>44</v>
      </c>
      <c r="N17" t="s">
        <v>158</v>
      </c>
      <c r="O17" t="s">
        <v>159</v>
      </c>
      <c r="P17" t="s">
        <v>159</v>
      </c>
      <c r="Q17">
        <f t="shared" si="0"/>
        <v>2014</v>
      </c>
      <c r="R17">
        <f t="shared" si="1"/>
        <v>1</v>
      </c>
      <c r="S17">
        <f t="shared" si="2"/>
        <v>0</v>
      </c>
    </row>
    <row r="18" spans="1:19" x14ac:dyDescent="0.25">
      <c r="A18" t="s">
        <v>86</v>
      </c>
      <c r="B18" s="1">
        <v>41747</v>
      </c>
      <c r="C18" s="2">
        <v>0.80902777777777779</v>
      </c>
      <c r="D18" t="s">
        <v>51</v>
      </c>
      <c r="E18" t="s">
        <v>69</v>
      </c>
      <c r="F18" t="s">
        <v>87</v>
      </c>
      <c r="G18" t="s">
        <v>57</v>
      </c>
      <c r="H18">
        <v>2296</v>
      </c>
      <c r="I18" t="s">
        <v>43</v>
      </c>
      <c r="J18" t="s">
        <v>36</v>
      </c>
      <c r="K18" t="s">
        <v>22</v>
      </c>
      <c r="L18" t="s">
        <v>23</v>
      </c>
      <c r="M18" t="s">
        <v>44</v>
      </c>
      <c r="N18" t="s">
        <v>158</v>
      </c>
      <c r="O18" t="s">
        <v>75</v>
      </c>
      <c r="P18" t="s">
        <v>44</v>
      </c>
      <c r="Q18">
        <f t="shared" si="0"/>
        <v>2014</v>
      </c>
      <c r="R18">
        <f t="shared" si="1"/>
        <v>1</v>
      </c>
      <c r="S18">
        <f t="shared" si="2"/>
        <v>1</v>
      </c>
    </row>
    <row r="19" spans="1:19" x14ac:dyDescent="0.25">
      <c r="A19" t="s">
        <v>88</v>
      </c>
      <c r="B19" s="1">
        <v>41834</v>
      </c>
      <c r="C19" s="2">
        <v>0.63541666666666663</v>
      </c>
      <c r="D19" t="s">
        <v>51</v>
      </c>
      <c r="E19" t="s">
        <v>69</v>
      </c>
      <c r="F19" t="s">
        <v>89</v>
      </c>
      <c r="G19" t="s">
        <v>31</v>
      </c>
      <c r="H19" t="s">
        <v>157</v>
      </c>
      <c r="I19" t="s">
        <v>43</v>
      </c>
      <c r="J19" t="s">
        <v>63</v>
      </c>
      <c r="K19" t="s">
        <v>40</v>
      </c>
      <c r="L19" t="s">
        <v>23</v>
      </c>
      <c r="M19" t="s">
        <v>44</v>
      </c>
      <c r="N19" t="s">
        <v>158</v>
      </c>
      <c r="O19" t="s">
        <v>75</v>
      </c>
      <c r="P19" t="s">
        <v>44</v>
      </c>
      <c r="Q19">
        <f t="shared" si="0"/>
        <v>2014</v>
      </c>
      <c r="R19">
        <f t="shared" si="1"/>
        <v>1</v>
      </c>
      <c r="S19">
        <f t="shared" si="2"/>
        <v>1</v>
      </c>
    </row>
    <row r="20" spans="1:19" x14ac:dyDescent="0.25">
      <c r="A20" t="s">
        <v>90</v>
      </c>
      <c r="B20" s="1">
        <v>41856</v>
      </c>
      <c r="C20" s="2">
        <v>0.33333333333333331</v>
      </c>
      <c r="D20" t="s">
        <v>51</v>
      </c>
      <c r="E20" t="s">
        <v>69</v>
      </c>
      <c r="F20" t="s">
        <v>91</v>
      </c>
      <c r="G20" t="s">
        <v>31</v>
      </c>
      <c r="H20">
        <v>4535</v>
      </c>
      <c r="I20" t="s">
        <v>78</v>
      </c>
      <c r="J20" t="s">
        <v>92</v>
      </c>
      <c r="K20" t="s">
        <v>40</v>
      </c>
      <c r="L20" t="s">
        <v>93</v>
      </c>
      <c r="M20" t="s">
        <v>44</v>
      </c>
      <c r="N20" t="s">
        <v>158</v>
      </c>
      <c r="O20" t="s">
        <v>159</v>
      </c>
      <c r="P20" t="s">
        <v>159</v>
      </c>
      <c r="Q20">
        <f t="shared" si="0"/>
        <v>2014</v>
      </c>
      <c r="R20">
        <f t="shared" si="1"/>
        <v>1</v>
      </c>
      <c r="S20">
        <f t="shared" si="2"/>
        <v>0</v>
      </c>
    </row>
    <row r="21" spans="1:19" x14ac:dyDescent="0.25">
      <c r="A21" t="s">
        <v>94</v>
      </c>
      <c r="B21" s="1">
        <v>41889</v>
      </c>
      <c r="C21" s="2">
        <v>0.20833333333333334</v>
      </c>
      <c r="D21" t="s">
        <v>51</v>
      </c>
      <c r="E21" t="s">
        <v>69</v>
      </c>
      <c r="F21" t="s">
        <v>95</v>
      </c>
      <c r="G21" t="s">
        <v>31</v>
      </c>
      <c r="H21">
        <v>4428</v>
      </c>
      <c r="I21" t="s">
        <v>78</v>
      </c>
      <c r="J21" t="s">
        <v>92</v>
      </c>
      <c r="K21" t="s">
        <v>40</v>
      </c>
      <c r="L21" t="s">
        <v>93</v>
      </c>
      <c r="M21" t="s">
        <v>44</v>
      </c>
      <c r="N21" t="s">
        <v>158</v>
      </c>
      <c r="O21" t="s">
        <v>159</v>
      </c>
      <c r="P21" t="s">
        <v>159</v>
      </c>
      <c r="Q21">
        <f t="shared" si="0"/>
        <v>2014</v>
      </c>
      <c r="R21">
        <f t="shared" si="1"/>
        <v>1</v>
      </c>
      <c r="S21">
        <f t="shared" si="2"/>
        <v>0</v>
      </c>
    </row>
    <row r="22" spans="1:19" x14ac:dyDescent="0.25">
      <c r="A22" t="s">
        <v>96</v>
      </c>
      <c r="B22" s="1">
        <v>41903</v>
      </c>
      <c r="C22" s="2">
        <v>0.24444444444444446</v>
      </c>
      <c r="D22" t="s">
        <v>51</v>
      </c>
      <c r="E22" t="s">
        <v>69</v>
      </c>
      <c r="F22" t="s">
        <v>97</v>
      </c>
      <c r="G22" t="s">
        <v>57</v>
      </c>
      <c r="H22">
        <v>2216</v>
      </c>
      <c r="I22" t="s">
        <v>78</v>
      </c>
      <c r="J22" t="s">
        <v>36</v>
      </c>
      <c r="K22" t="s">
        <v>22</v>
      </c>
      <c r="L22" t="s">
        <v>23</v>
      </c>
      <c r="M22" t="s">
        <v>44</v>
      </c>
      <c r="N22" t="s">
        <v>158</v>
      </c>
      <c r="O22" t="s">
        <v>75</v>
      </c>
      <c r="P22" t="s">
        <v>44</v>
      </c>
      <c r="Q22">
        <f t="shared" si="0"/>
        <v>2014</v>
      </c>
      <c r="R22">
        <f t="shared" si="1"/>
        <v>1</v>
      </c>
      <c r="S22">
        <f t="shared" si="2"/>
        <v>1</v>
      </c>
    </row>
    <row r="23" spans="1:19" x14ac:dyDescent="0.25">
      <c r="A23" t="s">
        <v>98</v>
      </c>
      <c r="B23" s="1">
        <v>42014</v>
      </c>
      <c r="C23" s="2">
        <v>0.40763888888888888</v>
      </c>
      <c r="D23" t="s">
        <v>51</v>
      </c>
      <c r="E23" t="s">
        <v>69</v>
      </c>
      <c r="F23" t="s">
        <v>99</v>
      </c>
      <c r="G23" t="s">
        <v>57</v>
      </c>
      <c r="H23">
        <v>2395</v>
      </c>
      <c r="I23" t="s">
        <v>43</v>
      </c>
      <c r="J23" t="s">
        <v>36</v>
      </c>
      <c r="K23" t="s">
        <v>22</v>
      </c>
      <c r="L23" t="s">
        <v>23</v>
      </c>
      <c r="M23" t="s">
        <v>44</v>
      </c>
      <c r="N23" t="s">
        <v>158</v>
      </c>
      <c r="O23" t="s">
        <v>100</v>
      </c>
      <c r="P23" t="s">
        <v>24</v>
      </c>
      <c r="Q23">
        <f t="shared" si="0"/>
        <v>2015</v>
      </c>
      <c r="R23">
        <f t="shared" si="1"/>
        <v>1</v>
      </c>
      <c r="S23">
        <f t="shared" si="2"/>
        <v>0</v>
      </c>
    </row>
    <row r="24" spans="1:19" x14ac:dyDescent="0.25">
      <c r="A24" t="s">
        <v>101</v>
      </c>
      <c r="B24" s="1">
        <v>42046</v>
      </c>
      <c r="C24" s="2">
        <v>0.9604166666666667</v>
      </c>
      <c r="D24" t="s">
        <v>51</v>
      </c>
      <c r="E24" t="s">
        <v>69</v>
      </c>
      <c r="F24" t="s">
        <v>102</v>
      </c>
      <c r="G24" t="s">
        <v>47</v>
      </c>
      <c r="H24">
        <v>570</v>
      </c>
      <c r="I24" t="s">
        <v>103</v>
      </c>
      <c r="J24" t="s">
        <v>104</v>
      </c>
      <c r="K24" t="s">
        <v>22</v>
      </c>
      <c r="L24" t="s">
        <v>23</v>
      </c>
      <c r="M24" t="s">
        <v>44</v>
      </c>
      <c r="N24" t="s">
        <v>158</v>
      </c>
      <c r="O24" t="s">
        <v>75</v>
      </c>
      <c r="P24" t="s">
        <v>44</v>
      </c>
      <c r="Q24">
        <f t="shared" si="0"/>
        <v>2015</v>
      </c>
      <c r="R24">
        <f t="shared" si="1"/>
        <v>1</v>
      </c>
      <c r="S24">
        <f t="shared" si="2"/>
        <v>1</v>
      </c>
    </row>
    <row r="25" spans="1:19" x14ac:dyDescent="0.25">
      <c r="A25" t="s">
        <v>105</v>
      </c>
      <c r="B25" s="1">
        <v>42065</v>
      </c>
      <c r="C25" s="2">
        <v>0.15972222222222224</v>
      </c>
      <c r="D25" t="s">
        <v>51</v>
      </c>
      <c r="E25" t="s">
        <v>69</v>
      </c>
      <c r="F25" t="s">
        <v>106</v>
      </c>
      <c r="G25" t="s">
        <v>31</v>
      </c>
      <c r="H25">
        <v>4159</v>
      </c>
      <c r="I25" t="s">
        <v>78</v>
      </c>
      <c r="J25" t="s">
        <v>107</v>
      </c>
      <c r="K25" t="s">
        <v>40</v>
      </c>
      <c r="L25" t="s">
        <v>108</v>
      </c>
      <c r="M25" t="s">
        <v>44</v>
      </c>
      <c r="N25" t="s">
        <v>158</v>
      </c>
      <c r="O25" t="s">
        <v>159</v>
      </c>
      <c r="P25" t="s">
        <v>159</v>
      </c>
      <c r="Q25">
        <f t="shared" si="0"/>
        <v>2015</v>
      </c>
      <c r="R25">
        <f t="shared" si="1"/>
        <v>1</v>
      </c>
      <c r="S25">
        <f t="shared" si="2"/>
        <v>0</v>
      </c>
    </row>
    <row r="26" spans="1:19" x14ac:dyDescent="0.25">
      <c r="A26" t="s">
        <v>105</v>
      </c>
      <c r="B26" s="1">
        <v>42065</v>
      </c>
      <c r="C26" s="2">
        <v>0.15972222222222224</v>
      </c>
      <c r="D26" t="s">
        <v>51</v>
      </c>
      <c r="E26" t="s">
        <v>69</v>
      </c>
      <c r="F26" t="s">
        <v>109</v>
      </c>
      <c r="G26" t="s">
        <v>31</v>
      </c>
      <c r="H26">
        <v>4159</v>
      </c>
      <c r="I26" t="s">
        <v>78</v>
      </c>
      <c r="J26" t="s">
        <v>110</v>
      </c>
      <c r="K26" t="s">
        <v>40</v>
      </c>
      <c r="L26" t="s">
        <v>111</v>
      </c>
      <c r="M26" t="s">
        <v>44</v>
      </c>
      <c r="N26" t="s">
        <v>158</v>
      </c>
      <c r="O26" t="s">
        <v>159</v>
      </c>
      <c r="P26" t="s">
        <v>159</v>
      </c>
      <c r="Q26">
        <f t="shared" si="0"/>
        <v>2015</v>
      </c>
      <c r="R26">
        <f t="shared" si="1"/>
        <v>1</v>
      </c>
      <c r="S26">
        <f t="shared" si="2"/>
        <v>0</v>
      </c>
    </row>
    <row r="27" spans="1:19" x14ac:dyDescent="0.25">
      <c r="A27" t="s">
        <v>112</v>
      </c>
      <c r="B27" s="1">
        <v>42108</v>
      </c>
      <c r="C27" s="2">
        <v>0.84027777777777779</v>
      </c>
      <c r="D27" t="s">
        <v>51</v>
      </c>
      <c r="E27" t="s">
        <v>69</v>
      </c>
      <c r="F27" t="s">
        <v>113</v>
      </c>
      <c r="G27" t="s">
        <v>57</v>
      </c>
      <c r="H27">
        <v>1898</v>
      </c>
      <c r="I27" t="s">
        <v>43</v>
      </c>
      <c r="J27" t="s">
        <v>36</v>
      </c>
      <c r="K27" t="s">
        <v>22</v>
      </c>
      <c r="L27" t="s">
        <v>23</v>
      </c>
      <c r="M27" t="s">
        <v>44</v>
      </c>
      <c r="N27" t="s">
        <v>158</v>
      </c>
      <c r="O27" t="s">
        <v>100</v>
      </c>
      <c r="P27" t="s">
        <v>24</v>
      </c>
      <c r="Q27">
        <f t="shared" si="0"/>
        <v>2015</v>
      </c>
      <c r="R27">
        <f t="shared" si="1"/>
        <v>1</v>
      </c>
      <c r="S27">
        <f t="shared" si="2"/>
        <v>0</v>
      </c>
    </row>
    <row r="28" spans="1:19" x14ac:dyDescent="0.25">
      <c r="A28" t="s">
        <v>114</v>
      </c>
      <c r="B28" s="1">
        <v>42121</v>
      </c>
      <c r="C28" s="2">
        <v>0.9604166666666667</v>
      </c>
      <c r="D28" t="s">
        <v>51</v>
      </c>
      <c r="E28" t="s">
        <v>69</v>
      </c>
      <c r="F28" t="s">
        <v>115</v>
      </c>
      <c r="G28" t="s">
        <v>31</v>
      </c>
      <c r="H28">
        <v>4707</v>
      </c>
      <c r="I28" t="s">
        <v>78</v>
      </c>
      <c r="J28" t="s">
        <v>116</v>
      </c>
      <c r="K28" t="s">
        <v>22</v>
      </c>
      <c r="L28" t="s">
        <v>117</v>
      </c>
      <c r="M28" t="s">
        <v>44</v>
      </c>
      <c r="N28" t="s">
        <v>158</v>
      </c>
      <c r="O28" t="s">
        <v>159</v>
      </c>
      <c r="P28" t="s">
        <v>159</v>
      </c>
      <c r="Q28">
        <f t="shared" si="0"/>
        <v>2015</v>
      </c>
      <c r="R28">
        <f t="shared" si="1"/>
        <v>1</v>
      </c>
      <c r="S28">
        <f t="shared" si="2"/>
        <v>0</v>
      </c>
    </row>
    <row r="29" spans="1:19" x14ac:dyDescent="0.25">
      <c r="A29" t="s">
        <v>118</v>
      </c>
      <c r="B29" s="1">
        <v>42183</v>
      </c>
      <c r="C29" s="2">
        <v>0.59791666666666665</v>
      </c>
      <c r="D29" t="s">
        <v>51</v>
      </c>
      <c r="E29" t="s">
        <v>69</v>
      </c>
      <c r="F29" t="s">
        <v>119</v>
      </c>
      <c r="G29" t="s">
        <v>57</v>
      </c>
      <c r="H29">
        <v>1952</v>
      </c>
      <c r="I29" t="s">
        <v>43</v>
      </c>
      <c r="J29" t="s">
        <v>36</v>
      </c>
      <c r="K29" t="s">
        <v>22</v>
      </c>
      <c r="L29" t="s">
        <v>23</v>
      </c>
      <c r="M29" t="s">
        <v>24</v>
      </c>
      <c r="N29" t="s">
        <v>120</v>
      </c>
      <c r="O29" t="s">
        <v>159</v>
      </c>
      <c r="P29" t="s">
        <v>159</v>
      </c>
      <c r="Q29">
        <f t="shared" si="0"/>
        <v>2015</v>
      </c>
      <c r="R29">
        <f t="shared" si="1"/>
        <v>0</v>
      </c>
      <c r="S29">
        <f t="shared" si="2"/>
        <v>0</v>
      </c>
    </row>
    <row r="30" spans="1:19" x14ac:dyDescent="0.25">
      <c r="A30" t="s">
        <v>121</v>
      </c>
      <c r="B30" s="1">
        <v>42360</v>
      </c>
      <c r="C30" s="2">
        <v>6.1805555555555558E-2</v>
      </c>
      <c r="D30" t="s">
        <v>51</v>
      </c>
      <c r="E30" t="s">
        <v>122</v>
      </c>
      <c r="F30" t="s">
        <v>123</v>
      </c>
      <c r="G30" t="s">
        <v>31</v>
      </c>
      <c r="H30" t="s">
        <v>157</v>
      </c>
      <c r="I30" t="s">
        <v>43</v>
      </c>
      <c r="J30" t="s">
        <v>63</v>
      </c>
      <c r="K30" t="s">
        <v>40</v>
      </c>
      <c r="L30" t="s">
        <v>23</v>
      </c>
      <c r="M30" t="s">
        <v>44</v>
      </c>
      <c r="N30" t="s">
        <v>158</v>
      </c>
      <c r="O30" t="s">
        <v>124</v>
      </c>
      <c r="P30" t="s">
        <v>44</v>
      </c>
      <c r="Q30">
        <f t="shared" si="0"/>
        <v>2015</v>
      </c>
      <c r="R30">
        <f t="shared" si="1"/>
        <v>1</v>
      </c>
      <c r="S30">
        <f t="shared" si="2"/>
        <v>1</v>
      </c>
    </row>
    <row r="31" spans="1:19" x14ac:dyDescent="0.25">
      <c r="A31" t="s">
        <v>125</v>
      </c>
      <c r="B31" s="1">
        <v>42386</v>
      </c>
      <c r="C31" s="2">
        <v>0.77916666666666667</v>
      </c>
      <c r="D31" t="s">
        <v>68</v>
      </c>
      <c r="E31" t="s">
        <v>69</v>
      </c>
      <c r="F31" t="s">
        <v>126</v>
      </c>
      <c r="G31" t="s">
        <v>47</v>
      </c>
      <c r="H31">
        <v>553</v>
      </c>
      <c r="I31" t="s">
        <v>43</v>
      </c>
      <c r="J31" t="s">
        <v>127</v>
      </c>
      <c r="K31" t="s">
        <v>22</v>
      </c>
      <c r="L31" t="s">
        <v>23</v>
      </c>
      <c r="M31" t="s">
        <v>44</v>
      </c>
      <c r="N31" t="s">
        <v>158</v>
      </c>
      <c r="O31" t="s">
        <v>100</v>
      </c>
      <c r="P31" t="s">
        <v>24</v>
      </c>
      <c r="Q31">
        <f t="shared" si="0"/>
        <v>2016</v>
      </c>
      <c r="R31">
        <f t="shared" si="1"/>
        <v>1</v>
      </c>
      <c r="S31">
        <f t="shared" si="2"/>
        <v>0</v>
      </c>
    </row>
    <row r="32" spans="1:19" x14ac:dyDescent="0.25">
      <c r="A32" t="s">
        <v>128</v>
      </c>
      <c r="B32" s="1">
        <v>42433</v>
      </c>
      <c r="C32" s="2">
        <v>0.98263888888888884</v>
      </c>
      <c r="D32" t="s">
        <v>51</v>
      </c>
      <c r="E32" t="s">
        <v>122</v>
      </c>
      <c r="F32" t="s">
        <v>129</v>
      </c>
      <c r="G32" t="s">
        <v>31</v>
      </c>
      <c r="H32">
        <v>5271</v>
      </c>
      <c r="I32" t="s">
        <v>78</v>
      </c>
      <c r="J32" t="s">
        <v>79</v>
      </c>
      <c r="K32" t="s">
        <v>40</v>
      </c>
      <c r="L32" t="s">
        <v>80</v>
      </c>
      <c r="M32" t="s">
        <v>44</v>
      </c>
      <c r="N32" t="s">
        <v>158</v>
      </c>
      <c r="O32" t="s">
        <v>100</v>
      </c>
      <c r="P32" t="s">
        <v>24</v>
      </c>
      <c r="Q32">
        <f t="shared" si="0"/>
        <v>2016</v>
      </c>
      <c r="R32">
        <f t="shared" si="1"/>
        <v>1</v>
      </c>
      <c r="S32">
        <f t="shared" si="2"/>
        <v>0</v>
      </c>
    </row>
    <row r="33" spans="1:19" x14ac:dyDescent="0.25">
      <c r="A33" t="s">
        <v>130</v>
      </c>
      <c r="B33" s="1">
        <v>42468</v>
      </c>
      <c r="C33" s="2">
        <v>0.86319444444444438</v>
      </c>
      <c r="D33" t="s">
        <v>51</v>
      </c>
      <c r="E33" t="s">
        <v>122</v>
      </c>
      <c r="F33" t="s">
        <v>131</v>
      </c>
      <c r="G33" t="s">
        <v>57</v>
      </c>
      <c r="H33">
        <v>3136</v>
      </c>
      <c r="I33" t="s">
        <v>43</v>
      </c>
      <c r="J33" t="s">
        <v>36</v>
      </c>
      <c r="K33" t="s">
        <v>22</v>
      </c>
      <c r="L33" t="s">
        <v>23</v>
      </c>
      <c r="M33" t="s">
        <v>44</v>
      </c>
      <c r="N33" t="s">
        <v>158</v>
      </c>
      <c r="O33" t="s">
        <v>100</v>
      </c>
      <c r="P33" t="s">
        <v>44</v>
      </c>
      <c r="Q33">
        <f t="shared" si="0"/>
        <v>2016</v>
      </c>
      <c r="R33">
        <f t="shared" si="1"/>
        <v>1</v>
      </c>
      <c r="S33">
        <f t="shared" si="2"/>
        <v>1</v>
      </c>
    </row>
    <row r="34" spans="1:19" x14ac:dyDescent="0.25">
      <c r="A34" t="s">
        <v>132</v>
      </c>
      <c r="B34" s="1">
        <v>42496</v>
      </c>
      <c r="C34" s="2">
        <v>0.22291666666666665</v>
      </c>
      <c r="D34" t="s">
        <v>51</v>
      </c>
      <c r="E34" t="s">
        <v>122</v>
      </c>
      <c r="F34" t="s">
        <v>133</v>
      </c>
      <c r="G34" t="s">
        <v>31</v>
      </c>
      <c r="H34">
        <v>4696</v>
      </c>
      <c r="I34" t="s">
        <v>78</v>
      </c>
      <c r="J34" t="s">
        <v>134</v>
      </c>
      <c r="K34" t="s">
        <v>40</v>
      </c>
      <c r="L34" t="s">
        <v>135</v>
      </c>
      <c r="M34" t="s">
        <v>44</v>
      </c>
      <c r="N34" t="s">
        <v>158</v>
      </c>
      <c r="O34" t="s">
        <v>100</v>
      </c>
      <c r="P34" t="s">
        <v>44</v>
      </c>
      <c r="Q34">
        <f t="shared" si="0"/>
        <v>2016</v>
      </c>
      <c r="R34">
        <f t="shared" si="1"/>
        <v>1</v>
      </c>
      <c r="S34">
        <f t="shared" si="2"/>
        <v>1</v>
      </c>
    </row>
    <row r="35" spans="1:19" x14ac:dyDescent="0.25">
      <c r="A35" t="s">
        <v>136</v>
      </c>
      <c r="B35" s="1">
        <v>42517</v>
      </c>
      <c r="C35" s="2">
        <v>0.90208333333333324</v>
      </c>
      <c r="D35" t="s">
        <v>51</v>
      </c>
      <c r="E35" t="s">
        <v>122</v>
      </c>
      <c r="F35" t="s">
        <v>137</v>
      </c>
      <c r="G35" t="s">
        <v>31</v>
      </c>
      <c r="H35">
        <v>3100</v>
      </c>
      <c r="I35" t="s">
        <v>78</v>
      </c>
      <c r="J35" t="s">
        <v>84</v>
      </c>
      <c r="K35" t="s">
        <v>40</v>
      </c>
      <c r="L35" t="s">
        <v>85</v>
      </c>
      <c r="M35" t="s">
        <v>44</v>
      </c>
      <c r="N35" t="s">
        <v>158</v>
      </c>
      <c r="O35" t="s">
        <v>100</v>
      </c>
      <c r="P35" t="s">
        <v>44</v>
      </c>
      <c r="Q35">
        <f t="shared" si="0"/>
        <v>2016</v>
      </c>
      <c r="R35">
        <f t="shared" si="1"/>
        <v>1</v>
      </c>
      <c r="S35">
        <f t="shared" si="2"/>
        <v>1</v>
      </c>
    </row>
    <row r="36" spans="1:19" x14ac:dyDescent="0.25">
      <c r="A36" t="s">
        <v>138</v>
      </c>
      <c r="B36" s="1">
        <v>42536</v>
      </c>
      <c r="C36" s="2">
        <v>0.60347222222222219</v>
      </c>
      <c r="D36" t="s">
        <v>51</v>
      </c>
      <c r="E36" t="s">
        <v>122</v>
      </c>
      <c r="F36" t="s">
        <v>139</v>
      </c>
      <c r="G36" t="s">
        <v>31</v>
      </c>
      <c r="H36">
        <v>3600</v>
      </c>
      <c r="I36" t="s">
        <v>78</v>
      </c>
      <c r="J36" t="s">
        <v>107</v>
      </c>
      <c r="K36" t="s">
        <v>40</v>
      </c>
      <c r="L36" t="s">
        <v>108</v>
      </c>
      <c r="M36" t="s">
        <v>44</v>
      </c>
      <c r="N36" t="s">
        <v>158</v>
      </c>
      <c r="O36" t="s">
        <v>100</v>
      </c>
      <c r="P36" t="s">
        <v>24</v>
      </c>
      <c r="Q36">
        <f t="shared" si="0"/>
        <v>2016</v>
      </c>
      <c r="R36">
        <f t="shared" si="1"/>
        <v>1</v>
      </c>
      <c r="S36">
        <f t="shared" si="2"/>
        <v>0</v>
      </c>
    </row>
    <row r="37" spans="1:19" x14ac:dyDescent="0.25">
      <c r="A37" t="s">
        <v>138</v>
      </c>
      <c r="B37" s="1">
        <v>42536</v>
      </c>
      <c r="C37" s="2">
        <v>0.60347222222222219</v>
      </c>
      <c r="D37" t="s">
        <v>51</v>
      </c>
      <c r="E37" t="s">
        <v>122</v>
      </c>
      <c r="F37" t="s">
        <v>140</v>
      </c>
      <c r="G37" t="s">
        <v>31</v>
      </c>
      <c r="H37">
        <v>3600</v>
      </c>
      <c r="I37" t="s">
        <v>78</v>
      </c>
      <c r="J37" t="s">
        <v>110</v>
      </c>
      <c r="K37" t="s">
        <v>40</v>
      </c>
      <c r="L37" t="s">
        <v>111</v>
      </c>
      <c r="M37" t="s">
        <v>44</v>
      </c>
      <c r="N37" t="s">
        <v>158</v>
      </c>
      <c r="O37" t="s">
        <v>100</v>
      </c>
      <c r="P37" t="s">
        <v>24</v>
      </c>
      <c r="Q37">
        <f t="shared" si="0"/>
        <v>2016</v>
      </c>
      <c r="R37">
        <f t="shared" si="1"/>
        <v>1</v>
      </c>
      <c r="S37">
        <f t="shared" si="2"/>
        <v>0</v>
      </c>
    </row>
    <row r="38" spans="1:19" x14ac:dyDescent="0.25">
      <c r="A38" t="s">
        <v>141</v>
      </c>
      <c r="B38" s="1">
        <v>42569</v>
      </c>
      <c r="C38" s="2">
        <v>0.19791666666666666</v>
      </c>
      <c r="D38" t="s">
        <v>51</v>
      </c>
      <c r="E38" t="s">
        <v>122</v>
      </c>
      <c r="F38" t="s">
        <v>142</v>
      </c>
      <c r="G38" t="s">
        <v>57</v>
      </c>
      <c r="H38">
        <v>2257</v>
      </c>
      <c r="I38" t="s">
        <v>43</v>
      </c>
      <c r="J38" t="s">
        <v>36</v>
      </c>
      <c r="K38" t="s">
        <v>22</v>
      </c>
      <c r="L38" t="s">
        <v>23</v>
      </c>
      <c r="M38" t="s">
        <v>44</v>
      </c>
      <c r="N38" t="s">
        <v>158</v>
      </c>
      <c r="O38" t="s">
        <v>124</v>
      </c>
      <c r="P38" t="s">
        <v>44</v>
      </c>
      <c r="Q38">
        <f t="shared" si="0"/>
        <v>2016</v>
      </c>
      <c r="R38">
        <f t="shared" si="1"/>
        <v>1</v>
      </c>
      <c r="S38">
        <f t="shared" si="2"/>
        <v>1</v>
      </c>
    </row>
    <row r="39" spans="1:19" x14ac:dyDescent="0.25">
      <c r="A39" t="s">
        <v>143</v>
      </c>
      <c r="B39" s="1">
        <v>42596</v>
      </c>
      <c r="C39" s="2">
        <v>0.22638888888888889</v>
      </c>
      <c r="D39" t="s">
        <v>51</v>
      </c>
      <c r="E39" t="s">
        <v>122</v>
      </c>
      <c r="F39" t="s">
        <v>144</v>
      </c>
      <c r="G39" t="s">
        <v>31</v>
      </c>
      <c r="H39">
        <v>4600</v>
      </c>
      <c r="I39" t="s">
        <v>78</v>
      </c>
      <c r="J39" t="s">
        <v>134</v>
      </c>
      <c r="K39" t="s">
        <v>40</v>
      </c>
      <c r="L39" t="s">
        <v>135</v>
      </c>
      <c r="M39" t="s">
        <v>44</v>
      </c>
      <c r="N39" t="s">
        <v>158</v>
      </c>
      <c r="O39" t="s">
        <v>100</v>
      </c>
      <c r="P39" t="s">
        <v>44</v>
      </c>
      <c r="Q39">
        <f t="shared" si="0"/>
        <v>2016</v>
      </c>
      <c r="R39">
        <f t="shared" si="1"/>
        <v>1</v>
      </c>
      <c r="S39">
        <f t="shared" si="2"/>
        <v>1</v>
      </c>
    </row>
    <row r="40" spans="1:19" x14ac:dyDescent="0.25">
      <c r="A40" t="s">
        <v>145</v>
      </c>
      <c r="B40" s="1">
        <v>42614</v>
      </c>
      <c r="C40" s="2">
        <v>0.54652777777777783</v>
      </c>
      <c r="D40" t="s">
        <v>51</v>
      </c>
      <c r="E40" t="s">
        <v>122</v>
      </c>
      <c r="F40" t="s">
        <v>146</v>
      </c>
      <c r="G40" t="s">
        <v>31</v>
      </c>
      <c r="H40">
        <v>5500</v>
      </c>
      <c r="I40" t="s">
        <v>78</v>
      </c>
      <c r="J40" t="s">
        <v>147</v>
      </c>
      <c r="K40" t="s">
        <v>40</v>
      </c>
      <c r="L40" t="s">
        <v>148</v>
      </c>
      <c r="M40" t="s">
        <v>24</v>
      </c>
      <c r="N40" t="s">
        <v>149</v>
      </c>
      <c r="O40" t="s">
        <v>159</v>
      </c>
      <c r="P40" t="s">
        <v>159</v>
      </c>
      <c r="Q40">
        <f t="shared" si="0"/>
        <v>2016</v>
      </c>
      <c r="R40">
        <f t="shared" si="1"/>
        <v>0</v>
      </c>
      <c r="S40">
        <f t="shared" si="2"/>
        <v>0</v>
      </c>
    </row>
    <row r="41" spans="1:19" x14ac:dyDescent="0.25">
      <c r="A41" t="s">
        <v>150</v>
      </c>
      <c r="B41" s="1">
        <v>42749</v>
      </c>
      <c r="C41" s="2">
        <v>0.74583333333333324</v>
      </c>
      <c r="D41" t="s">
        <v>68</v>
      </c>
      <c r="E41" t="s">
        <v>122</v>
      </c>
      <c r="F41" t="s">
        <v>151</v>
      </c>
      <c r="G41" t="s">
        <v>31</v>
      </c>
      <c r="H41">
        <v>9600</v>
      </c>
      <c r="I41" t="s">
        <v>43</v>
      </c>
      <c r="J41" t="s">
        <v>152</v>
      </c>
      <c r="K41" t="s">
        <v>40</v>
      </c>
      <c r="L41" t="s">
        <v>23</v>
      </c>
      <c r="M41" t="s">
        <v>44</v>
      </c>
      <c r="N41" t="s">
        <v>158</v>
      </c>
      <c r="O41" t="s">
        <v>100</v>
      </c>
      <c r="P41" t="s">
        <v>44</v>
      </c>
      <c r="Q41">
        <f t="shared" si="0"/>
        <v>2017</v>
      </c>
      <c r="R41">
        <f t="shared" si="1"/>
        <v>1</v>
      </c>
      <c r="S41">
        <f t="shared" si="2"/>
        <v>1</v>
      </c>
    </row>
    <row r="42" spans="1:19" x14ac:dyDescent="0.25">
      <c r="A42" t="s">
        <v>153</v>
      </c>
      <c r="B42" s="1">
        <v>42785</v>
      </c>
      <c r="C42" s="2">
        <v>0.61041666666666672</v>
      </c>
      <c r="D42" t="s">
        <v>154</v>
      </c>
      <c r="E42" t="s">
        <v>122</v>
      </c>
      <c r="F42" t="s">
        <v>155</v>
      </c>
      <c r="G42" t="s">
        <v>57</v>
      </c>
      <c r="H42">
        <v>2490</v>
      </c>
      <c r="I42" t="s">
        <v>43</v>
      </c>
      <c r="J42" t="s">
        <v>36</v>
      </c>
      <c r="K42" t="s">
        <v>22</v>
      </c>
      <c r="L42" t="s">
        <v>23</v>
      </c>
      <c r="M42" t="s">
        <v>44</v>
      </c>
      <c r="N42" t="s">
        <v>158</v>
      </c>
      <c r="O42" t="s">
        <v>124</v>
      </c>
      <c r="P42" t="s">
        <v>44</v>
      </c>
      <c r="Q42">
        <f t="shared" si="0"/>
        <v>2017</v>
      </c>
      <c r="R42">
        <f t="shared" si="1"/>
        <v>1</v>
      </c>
      <c r="S42">
        <f t="shared" si="2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SpaceX_Clean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2026-05-25T11:04:32Z</dcterms:created>
  <dcterms:modified xsi:type="dcterms:W3CDTF">2026-05-26T10:27:06Z</dcterms:modified>
</cp:coreProperties>
</file>